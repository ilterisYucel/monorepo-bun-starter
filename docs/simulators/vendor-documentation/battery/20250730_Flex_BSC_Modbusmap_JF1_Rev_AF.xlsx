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cetin\Desktop\GREEN DIAMOND ENERJI\LGES_DATA_ARCHIVE\GD-ESS-40ft-JF1\MODBUS MAP\"/>
    </mc:Choice>
  </mc:AlternateContent>
  <xr:revisionPtr revIDLastSave="0" documentId="13_ncr:1_{68BEFC02-6DBE-4601-9147-D0CCACFB876F}" xr6:coauthVersionLast="47" xr6:coauthVersionMax="47" xr10:uidLastSave="{00000000-0000-0000-0000-000000000000}"/>
  <bookViews>
    <workbookView xWindow="-120" yWindow="-120" windowWidth="29040" windowHeight="15720" tabRatio="653" firstSheet="1" activeTab="8" xr2:uid="{00000000-000D-0000-FFFF-FFFF00000000}"/>
  </bookViews>
  <sheets>
    <sheet name="Cover" sheetId="11" r:id="rId1"/>
    <sheet name="Description" sheetId="12" r:id="rId2"/>
    <sheet name="Common" sheetId="4" r:id="rId3"/>
    <sheet name="B2C(BSC Data)" sheetId="5" r:id="rId4"/>
    <sheet name="B2C(BSC Flag)" sheetId="6" r:id="rId5"/>
    <sheet name="C2B(Controller Data)" sheetId="7" r:id="rId6"/>
    <sheet name="Sequence" sheetId="8" r:id="rId7"/>
    <sheet name="Request Ack. Table" sheetId="9" r:id="rId8"/>
    <sheet name="B2C(Rack Data)" sheetId="10" r:id="rId9"/>
  </sheets>
  <externalReferences>
    <externalReference r:id="rId10"/>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1" i="4" l="1"/>
  <c r="C30" i="4"/>
  <c r="C61" i="10"/>
  <c r="D61" i="10" s="1"/>
  <c r="C11" i="10"/>
  <c r="D11" i="10" s="1"/>
  <c r="C180" i="8"/>
  <c r="C179" i="8"/>
  <c r="C177" i="8"/>
  <c r="C176" i="8"/>
  <c r="G175" i="8"/>
  <c r="O174" i="8"/>
  <c r="C174" i="8"/>
  <c r="K173" i="8"/>
  <c r="C173" i="8"/>
  <c r="O172" i="8"/>
  <c r="G172" i="8"/>
  <c r="O170" i="8"/>
  <c r="G170" i="8"/>
  <c r="O169" i="8"/>
  <c r="G169" i="8"/>
  <c r="C163" i="8"/>
  <c r="C162" i="8"/>
  <c r="C160" i="8"/>
  <c r="C159" i="8"/>
  <c r="G158" i="8"/>
  <c r="O157" i="8"/>
  <c r="C157" i="8"/>
  <c r="K156" i="8"/>
  <c r="C156" i="8"/>
  <c r="O155" i="8"/>
  <c r="G155" i="8"/>
  <c r="C149" i="8"/>
  <c r="C148" i="8"/>
  <c r="C146" i="8"/>
  <c r="C145" i="8"/>
  <c r="G144" i="8"/>
  <c r="O143" i="8"/>
  <c r="C143" i="8"/>
  <c r="K142" i="8"/>
  <c r="C142" i="8"/>
  <c r="O141" i="8"/>
  <c r="G141" i="8"/>
  <c r="C135" i="8"/>
  <c r="C134" i="8"/>
  <c r="C132" i="8"/>
  <c r="C130" i="8"/>
  <c r="G129" i="8"/>
  <c r="C129" i="8"/>
  <c r="G128" i="8"/>
  <c r="C128" i="8"/>
  <c r="G127" i="8"/>
  <c r="C126" i="8"/>
  <c r="C125" i="8"/>
  <c r="G123" i="8"/>
  <c r="O122" i="8"/>
  <c r="G122" i="8"/>
  <c r="K121" i="8"/>
  <c r="G121" i="8"/>
  <c r="O120" i="8"/>
  <c r="C120" i="8"/>
  <c r="C113" i="8"/>
  <c r="C112" i="8"/>
  <c r="C110" i="8"/>
  <c r="C108" i="8"/>
  <c r="C107" i="8"/>
  <c r="C106" i="8"/>
  <c r="G105" i="8"/>
  <c r="C104" i="8"/>
  <c r="C103" i="8"/>
  <c r="O102" i="8"/>
  <c r="K101" i="8"/>
  <c r="G101" i="8"/>
  <c r="O100" i="8"/>
  <c r="C100" i="8"/>
  <c r="C94" i="8"/>
  <c r="C93" i="8"/>
  <c r="C91" i="8"/>
  <c r="C89" i="8"/>
  <c r="C88" i="8"/>
  <c r="C87" i="8"/>
  <c r="C86" i="8"/>
  <c r="G85" i="8"/>
  <c r="O84" i="8"/>
  <c r="C84" i="8"/>
  <c r="K83" i="8"/>
  <c r="C83" i="8"/>
  <c r="O82" i="8"/>
  <c r="G82" i="8"/>
  <c r="C76" i="8"/>
  <c r="C75" i="8"/>
  <c r="C73" i="8"/>
  <c r="C71" i="8"/>
  <c r="C70" i="8"/>
  <c r="C69" i="8"/>
  <c r="G68" i="8"/>
  <c r="O67" i="8"/>
  <c r="C67" i="8"/>
  <c r="K66" i="8"/>
  <c r="C66" i="8"/>
  <c r="O65" i="8"/>
  <c r="G65" i="8"/>
  <c r="C59" i="8"/>
  <c r="C58" i="8"/>
  <c r="C56" i="8"/>
  <c r="C54" i="8"/>
  <c r="C53" i="8"/>
  <c r="C52" i="8"/>
  <c r="G51" i="8"/>
  <c r="O50" i="8"/>
  <c r="C50" i="8"/>
  <c r="K49" i="8"/>
  <c r="C49" i="8"/>
  <c r="O48" i="8"/>
  <c r="G48" i="8"/>
  <c r="C42" i="8"/>
  <c r="C41" i="8"/>
  <c r="C39" i="8"/>
  <c r="C38" i="8"/>
  <c r="G37" i="8"/>
  <c r="O36" i="8"/>
  <c r="C36" i="8"/>
  <c r="K35" i="8"/>
  <c r="C35" i="8"/>
  <c r="O34" i="8"/>
  <c r="G34" i="8"/>
  <c r="C28" i="8"/>
  <c r="C27" i="8"/>
  <c r="C25" i="8"/>
  <c r="C24" i="8"/>
  <c r="G23" i="8"/>
  <c r="O22" i="8"/>
  <c r="C22" i="8"/>
  <c r="K21" i="8"/>
  <c r="C21" i="8"/>
  <c r="O20" i="8"/>
  <c r="G20" i="8"/>
  <c r="C14" i="8"/>
  <c r="C13" i="8"/>
  <c r="C11" i="8"/>
  <c r="C10" i="8"/>
  <c r="G9" i="8"/>
  <c r="O8" i="8"/>
  <c r="C8" i="8"/>
  <c r="K7" i="8"/>
  <c r="C7" i="8"/>
  <c r="O6" i="8"/>
  <c r="G6" i="8"/>
  <c r="C47" i="7"/>
  <c r="C48" i="7" s="1"/>
  <c r="D46" i="7"/>
  <c r="C36" i="7"/>
  <c r="D36" i="7" s="1"/>
  <c r="D35" i="7"/>
  <c r="C10" i="7"/>
  <c r="D10" i="7" s="1"/>
  <c r="D9" i="7"/>
  <c r="C275" i="5"/>
  <c r="C276" i="5" s="1"/>
  <c r="C67" i="5"/>
  <c r="C68" i="5" s="1"/>
  <c r="C38" i="5"/>
  <c r="C63" i="5" s="1"/>
  <c r="C8" i="5"/>
  <c r="C9" i="5" s="1"/>
  <c r="D31" i="4"/>
  <c r="D30" i="4"/>
  <c r="C25" i="4"/>
  <c r="D25" i="4" s="1"/>
  <c r="C26" i="4" s="1"/>
  <c r="D26" i="4" s="1"/>
  <c r="C27" i="4" s="1"/>
  <c r="D27" i="4" s="1"/>
  <c r="C28" i="4" s="1"/>
  <c r="D28" i="4" s="1"/>
  <c r="D18" i="4"/>
  <c r="C19" i="4" s="1"/>
  <c r="D19" i="4" s="1"/>
  <c r="C20" i="4" s="1"/>
  <c r="D20" i="4" s="1"/>
  <c r="C21" i="4" s="1"/>
  <c r="D21" i="4" s="1"/>
  <c r="C12" i="10" l="1"/>
  <c r="C76" i="10"/>
  <c r="C49" i="7"/>
  <c r="D48" i="7"/>
  <c r="C11" i="7"/>
  <c r="C37" i="7"/>
  <c r="D47" i="7"/>
  <c r="C77" i="5"/>
  <c r="D68" i="5"/>
  <c r="C10" i="5"/>
  <c r="D9" i="5"/>
  <c r="D63" i="5"/>
  <c r="C64" i="5"/>
  <c r="D276" i="5"/>
  <c r="C277" i="5"/>
  <c r="D38" i="5"/>
  <c r="D275" i="5"/>
  <c r="D8" i="5"/>
  <c r="D76" i="10" l="1"/>
  <c r="C88" i="10"/>
  <c r="D12" i="10"/>
  <c r="C13" i="10"/>
  <c r="C38" i="7"/>
  <c r="D37" i="7"/>
  <c r="D11" i="7"/>
  <c r="C12" i="7"/>
  <c r="C50" i="7"/>
  <c r="D49" i="7"/>
  <c r="D277" i="5"/>
  <c r="C278" i="5"/>
  <c r="D64" i="5"/>
  <c r="D65" i="5" s="1"/>
  <c r="D66" i="5" s="1"/>
  <c r="D67" i="5" s="1"/>
  <c r="C65" i="5"/>
  <c r="C66" i="5" s="1"/>
  <c r="D10" i="5"/>
  <c r="C11" i="5"/>
  <c r="C92" i="5"/>
  <c r="D77" i="5"/>
  <c r="D13" i="10" l="1"/>
  <c r="C14" i="10"/>
  <c r="D88" i="10"/>
  <c r="C96" i="10"/>
  <c r="D50" i="7"/>
  <c r="C51" i="7"/>
  <c r="C53" i="7"/>
  <c r="C13" i="7"/>
  <c r="D12" i="7"/>
  <c r="C39" i="7"/>
  <c r="D38" i="7"/>
  <c r="D92" i="5"/>
  <c r="C93" i="5"/>
  <c r="C12" i="5"/>
  <c r="D11" i="5"/>
  <c r="C279" i="5"/>
  <c r="D278" i="5"/>
  <c r="C104" i="10" l="1"/>
  <c r="D96" i="10"/>
  <c r="C15" i="10"/>
  <c r="D14" i="10"/>
  <c r="C42" i="7"/>
  <c r="D39" i="7"/>
  <c r="C40" i="7"/>
  <c r="D13" i="7"/>
  <c r="C14" i="7"/>
  <c r="C54" i="7"/>
  <c r="D54" i="7" s="1"/>
  <c r="D53" i="7"/>
  <c r="D51" i="7"/>
  <c r="C52" i="7"/>
  <c r="D52" i="7" s="1"/>
  <c r="C280" i="5"/>
  <c r="D279" i="5"/>
  <c r="C13" i="5"/>
  <c r="C14" i="5" s="1"/>
  <c r="C15" i="5" s="1"/>
  <c r="C16" i="5" s="1"/>
  <c r="C17" i="5" s="1"/>
  <c r="D12" i="5"/>
  <c r="D13" i="5" s="1"/>
  <c r="D14" i="5" s="1"/>
  <c r="D15" i="5" s="1"/>
  <c r="D16" i="5" s="1"/>
  <c r="D17" i="5" s="1"/>
  <c r="C94" i="5"/>
  <c r="D93" i="5"/>
  <c r="C105" i="10" l="1"/>
  <c r="D104" i="10"/>
  <c r="C16" i="10"/>
  <c r="D15" i="10"/>
  <c r="C41" i="7"/>
  <c r="D41" i="7" s="1"/>
  <c r="D40" i="7"/>
  <c r="C15" i="7"/>
  <c r="D14" i="7"/>
  <c r="C43" i="7"/>
  <c r="D43" i="7" s="1"/>
  <c r="D42" i="7"/>
  <c r="C95" i="5"/>
  <c r="D94" i="5"/>
  <c r="C18" i="5"/>
  <c r="D18" i="5" s="1"/>
  <c r="C19" i="5"/>
  <c r="C281" i="5"/>
  <c r="D280" i="5"/>
  <c r="C17" i="10" l="1"/>
  <c r="D16" i="10"/>
  <c r="C106" i="10"/>
  <c r="D105" i="10"/>
  <c r="C16" i="7"/>
  <c r="D15" i="7"/>
  <c r="C283" i="5"/>
  <c r="C282" i="5"/>
  <c r="D282" i="5" s="1"/>
  <c r="D281" i="5"/>
  <c r="C20" i="5"/>
  <c r="D19" i="5"/>
  <c r="C96" i="5"/>
  <c r="D95" i="5"/>
  <c r="C107" i="10" l="1"/>
  <c r="D106" i="10"/>
  <c r="C18" i="10"/>
  <c r="D17" i="10"/>
  <c r="D16" i="7"/>
  <c r="C17" i="7"/>
  <c r="C97" i="5"/>
  <c r="D96" i="5"/>
  <c r="C21" i="5"/>
  <c r="D20" i="5"/>
  <c r="D283" i="5"/>
  <c r="C284" i="5"/>
  <c r="C19" i="10" l="1"/>
  <c r="D18" i="10"/>
  <c r="C108" i="10"/>
  <c r="D107" i="10"/>
  <c r="C18" i="7"/>
  <c r="D17" i="7"/>
  <c r="D284" i="5"/>
  <c r="C285" i="5"/>
  <c r="D21" i="5"/>
  <c r="C22" i="5"/>
  <c r="C113" i="5"/>
  <c r="D97" i="5"/>
  <c r="C109" i="10" l="1"/>
  <c r="D108" i="10"/>
  <c r="C20" i="10"/>
  <c r="D19" i="10"/>
  <c r="C19" i="7"/>
  <c r="D19" i="7" s="1"/>
  <c r="D18" i="7"/>
  <c r="C286" i="5"/>
  <c r="D285" i="5"/>
  <c r="C129" i="5"/>
  <c r="D129" i="5" s="1"/>
  <c r="C145" i="5"/>
  <c r="D113" i="5"/>
  <c r="C23" i="5"/>
  <c r="D22" i="5"/>
  <c r="D20" i="10" l="1"/>
  <c r="C21" i="10"/>
  <c r="D109" i="10"/>
  <c r="C110" i="10"/>
  <c r="C24" i="5"/>
  <c r="D23" i="5"/>
  <c r="D145" i="5"/>
  <c r="C177" i="5"/>
  <c r="C161" i="5"/>
  <c r="D161" i="5" s="1"/>
  <c r="D286" i="5"/>
  <c r="C287" i="5"/>
  <c r="C22" i="10" l="1"/>
  <c r="D21" i="10"/>
  <c r="C111" i="10"/>
  <c r="D110" i="10"/>
  <c r="D177" i="5"/>
  <c r="C193" i="5"/>
  <c r="C288" i="5"/>
  <c r="D287" i="5"/>
  <c r="C25" i="5"/>
  <c r="D24" i="5"/>
  <c r="C112" i="10" l="1"/>
  <c r="D111" i="10"/>
  <c r="D22" i="10"/>
  <c r="C23" i="10"/>
  <c r="C26" i="5"/>
  <c r="D25" i="5"/>
  <c r="C289" i="5"/>
  <c r="D288" i="5"/>
  <c r="D193" i="5"/>
  <c r="C209" i="5"/>
  <c r="D23" i="10" l="1"/>
  <c r="C24" i="10"/>
  <c r="D112" i="10"/>
  <c r="C113" i="10"/>
  <c r="D209" i="5"/>
  <c r="C225" i="5"/>
  <c r="C290" i="5"/>
  <c r="D289" i="5"/>
  <c r="D26" i="5"/>
  <c r="C27" i="5"/>
  <c r="C114" i="10" l="1"/>
  <c r="D113" i="10"/>
  <c r="C25" i="10"/>
  <c r="D24" i="10"/>
  <c r="C28" i="5"/>
  <c r="D27" i="5"/>
  <c r="D290" i="5"/>
  <c r="C291" i="5"/>
  <c r="C226" i="5"/>
  <c r="D225" i="5"/>
  <c r="C26" i="10" l="1"/>
  <c r="D25" i="10"/>
  <c r="D114" i="10"/>
  <c r="C115" i="10"/>
  <c r="C292" i="5"/>
  <c r="D291" i="5"/>
  <c r="C227" i="5"/>
  <c r="D226" i="5"/>
  <c r="C29" i="5"/>
  <c r="D28" i="5"/>
  <c r="C116" i="10" l="1"/>
  <c r="D115" i="10"/>
  <c r="C27" i="10"/>
  <c r="D26" i="10"/>
  <c r="D29" i="5"/>
  <c r="C30" i="5"/>
  <c r="C228" i="5"/>
  <c r="D227" i="5"/>
  <c r="D292" i="5"/>
  <c r="C293" i="5"/>
  <c r="C28" i="10" l="1"/>
  <c r="D27" i="10"/>
  <c r="C117" i="10"/>
  <c r="D116" i="10"/>
  <c r="D293" i="5"/>
  <c r="C294" i="5"/>
  <c r="C229" i="5"/>
  <c r="D228" i="5"/>
  <c r="C31" i="5"/>
  <c r="D30" i="5"/>
  <c r="C118" i="10" l="1"/>
  <c r="D117" i="10"/>
  <c r="C29" i="10"/>
  <c r="D28" i="10"/>
  <c r="C32" i="5"/>
  <c r="D31" i="5"/>
  <c r="D229" i="5"/>
  <c r="C230" i="5"/>
  <c r="C295" i="5"/>
  <c r="D294" i="5"/>
  <c r="C30" i="10" l="1"/>
  <c r="D29" i="10"/>
  <c r="C134" i="10"/>
  <c r="D118" i="10"/>
  <c r="D295" i="5"/>
  <c r="C296" i="5"/>
  <c r="C231" i="5"/>
  <c r="D230" i="5"/>
  <c r="C33" i="5"/>
  <c r="D32" i="5"/>
  <c r="D134" i="10" l="1"/>
  <c r="C150" i="10"/>
  <c r="D30" i="10"/>
  <c r="C31" i="10"/>
  <c r="D31" i="10" s="1"/>
  <c r="C33" i="10"/>
  <c r="C32" i="10"/>
  <c r="D32" i="10" s="1"/>
  <c r="C232" i="5"/>
  <c r="D231" i="5"/>
  <c r="C297" i="5"/>
  <c r="D296" i="5"/>
  <c r="D33" i="5"/>
  <c r="C34" i="5"/>
  <c r="C166" i="10" l="1"/>
  <c r="D150" i="10"/>
  <c r="C34" i="10"/>
  <c r="D33" i="10"/>
  <c r="D34" i="5"/>
  <c r="C35" i="5"/>
  <c r="C298" i="5"/>
  <c r="D297" i="5"/>
  <c r="D232" i="5"/>
  <c r="C233" i="5"/>
  <c r="C35" i="10" l="1"/>
  <c r="D34" i="10"/>
  <c r="D166" i="10"/>
  <c r="C182" i="10"/>
  <c r="C234" i="5"/>
  <c r="D233" i="5"/>
  <c r="C299" i="5"/>
  <c r="D298" i="5"/>
  <c r="D35" i="5"/>
  <c r="C36" i="5"/>
  <c r="C198" i="10" l="1"/>
  <c r="D182" i="10"/>
  <c r="D35" i="10"/>
  <c r="C36" i="10"/>
  <c r="D36" i="5"/>
  <c r="C37" i="5"/>
  <c r="D37" i="5" s="1"/>
  <c r="C300" i="5"/>
  <c r="D299" i="5"/>
  <c r="C235" i="5"/>
  <c r="D234" i="5"/>
  <c r="C38" i="10" l="1"/>
  <c r="C37" i="10"/>
  <c r="D37" i="10" s="1"/>
  <c r="D36" i="10"/>
  <c r="D198" i="10"/>
  <c r="C214" i="10"/>
  <c r="C301" i="5"/>
  <c r="D300" i="5"/>
  <c r="D235" i="5"/>
  <c r="C236" i="5"/>
  <c r="C215" i="10" l="1"/>
  <c r="D214" i="10"/>
  <c r="C39" i="10"/>
  <c r="D38" i="10"/>
  <c r="C237" i="5"/>
  <c r="D236" i="5"/>
  <c r="C302" i="5"/>
  <c r="D301" i="5"/>
  <c r="C40" i="10" l="1"/>
  <c r="D39" i="10"/>
  <c r="C248" i="10"/>
  <c r="C232" i="10"/>
  <c r="D232" i="10" s="1"/>
  <c r="C216" i="10"/>
  <c r="D216" i="10" s="1"/>
  <c r="D215" i="10"/>
  <c r="D302" i="5"/>
  <c r="C303" i="5"/>
  <c r="C238" i="5"/>
  <c r="D237" i="5"/>
  <c r="C264" i="10" l="1"/>
  <c r="D264" i="10" s="1"/>
  <c r="D248" i="10"/>
  <c r="C280" i="10"/>
  <c r="D40" i="10"/>
  <c r="C43" i="10"/>
  <c r="C41" i="10"/>
  <c r="C239" i="5"/>
  <c r="D238" i="5"/>
  <c r="D303" i="5"/>
  <c r="C304" i="5"/>
  <c r="C312" i="10" l="1"/>
  <c r="C296" i="10"/>
  <c r="D296" i="10" s="1"/>
  <c r="D280" i="10"/>
  <c r="C42" i="10"/>
  <c r="D42" i="10" s="1"/>
  <c r="D41" i="10"/>
  <c r="C44" i="10"/>
  <c r="D43" i="10"/>
  <c r="C305" i="5"/>
  <c r="D304" i="5"/>
  <c r="C240" i="5"/>
  <c r="D239" i="5"/>
  <c r="C45" i="10" l="1"/>
  <c r="D44" i="10"/>
  <c r="C328" i="10"/>
  <c r="D312" i="10"/>
  <c r="C241" i="5"/>
  <c r="D240" i="5"/>
  <c r="D305" i="5"/>
  <c r="C306" i="5"/>
  <c r="D328" i="10" l="1"/>
  <c r="C329" i="10"/>
  <c r="C46" i="10"/>
  <c r="D45" i="10"/>
  <c r="D306" i="5"/>
  <c r="C307" i="5"/>
  <c r="D241" i="5"/>
  <c r="C242" i="5"/>
  <c r="C47" i="10" l="1"/>
  <c r="D46" i="10"/>
  <c r="C330" i="10"/>
  <c r="D329" i="10"/>
  <c r="D242" i="5"/>
  <c r="C243" i="5"/>
  <c r="C308" i="5"/>
  <c r="D307" i="5"/>
  <c r="C331" i="10" l="1"/>
  <c r="D330" i="10"/>
  <c r="C48" i="10"/>
  <c r="D47" i="10"/>
  <c r="C309" i="5"/>
  <c r="D308" i="5"/>
  <c r="D243" i="5"/>
  <c r="C245" i="5"/>
  <c r="C49" i="10" l="1"/>
  <c r="D48" i="10"/>
  <c r="C332" i="10"/>
  <c r="D331" i="10"/>
  <c r="C246" i="5"/>
  <c r="D245" i="5"/>
  <c r="C310" i="5"/>
  <c r="D309" i="5"/>
  <c r="C334" i="10" l="1"/>
  <c r="D332" i="10"/>
  <c r="C50" i="10"/>
  <c r="D49" i="10"/>
  <c r="D310" i="5"/>
  <c r="C311" i="5"/>
  <c r="D246" i="5"/>
  <c r="C247" i="5"/>
  <c r="D50" i="10" l="1"/>
  <c r="C51" i="10"/>
  <c r="C336" i="10"/>
  <c r="D334" i="10"/>
  <c r="D247" i="5"/>
  <c r="C248" i="5"/>
  <c r="C312" i="5"/>
  <c r="D311" i="5"/>
  <c r="D336" i="10" l="1"/>
  <c r="C337" i="10"/>
  <c r="C52" i="10"/>
  <c r="D51" i="10"/>
  <c r="D312" i="5"/>
  <c r="C313" i="5"/>
  <c r="C249" i="5"/>
  <c r="D248" i="5"/>
  <c r="C53" i="10" l="1"/>
  <c r="D52" i="10"/>
  <c r="C338" i="10"/>
  <c r="D337" i="10"/>
  <c r="C250" i="5"/>
  <c r="D249" i="5"/>
  <c r="D313" i="5"/>
  <c r="C314" i="5"/>
  <c r="C339" i="10" l="1"/>
  <c r="D338" i="10"/>
  <c r="D53" i="10"/>
  <c r="C54" i="10"/>
  <c r="C315" i="5"/>
  <c r="D314" i="5"/>
  <c r="D250" i="5"/>
  <c r="C251" i="5"/>
  <c r="D54" i="10" l="1"/>
  <c r="C55" i="10"/>
  <c r="C341" i="10"/>
  <c r="D339" i="10"/>
  <c r="C252" i="5"/>
  <c r="D251" i="5"/>
  <c r="C316" i="5"/>
  <c r="D315" i="5"/>
  <c r="C343" i="10" l="1"/>
  <c r="D341" i="10"/>
  <c r="C56" i="10"/>
  <c r="D55" i="10"/>
  <c r="C317" i="5"/>
  <c r="D316" i="5"/>
  <c r="D252" i="5"/>
  <c r="C253" i="5"/>
  <c r="C57" i="10" l="1"/>
  <c r="D56" i="10"/>
  <c r="C344" i="10"/>
  <c r="D343" i="10"/>
  <c r="D253" i="5"/>
  <c r="C254" i="5"/>
  <c r="C318" i="5"/>
  <c r="D317" i="5"/>
  <c r="C348" i="10" l="1"/>
  <c r="C345" i="10"/>
  <c r="D344" i="10"/>
  <c r="C354" i="10"/>
  <c r="C58" i="10"/>
  <c r="D57" i="10"/>
  <c r="C319" i="5"/>
  <c r="D318" i="5"/>
  <c r="C255" i="5"/>
  <c r="D254" i="5"/>
  <c r="C59" i="10" l="1"/>
  <c r="D58" i="10"/>
  <c r="C355" i="10"/>
  <c r="D354" i="10"/>
  <c r="C346" i="10"/>
  <c r="D345" i="10"/>
  <c r="D348" i="10"/>
  <c r="C349" i="10"/>
  <c r="D255" i="5"/>
  <c r="C256" i="5"/>
  <c r="C320" i="5"/>
  <c r="D319" i="5"/>
  <c r="C350" i="10" l="1"/>
  <c r="D349" i="10"/>
  <c r="C347" i="10"/>
  <c r="D347" i="10" s="1"/>
  <c r="D346" i="10"/>
  <c r="C356" i="10"/>
  <c r="D355" i="10"/>
  <c r="C60" i="10"/>
  <c r="D60" i="10" s="1"/>
  <c r="D59" i="10"/>
  <c r="D320" i="5"/>
  <c r="C321" i="5"/>
  <c r="C257" i="5"/>
  <c r="D256" i="5"/>
  <c r="C357" i="10" l="1"/>
  <c r="D356" i="10"/>
  <c r="C352" i="10"/>
  <c r="C351" i="10"/>
  <c r="D351" i="10" s="1"/>
  <c r="D350" i="10"/>
  <c r="C258" i="5"/>
  <c r="D257" i="5"/>
  <c r="C322" i="5"/>
  <c r="D321" i="5"/>
  <c r="C353" i="10" l="1"/>
  <c r="D353" i="10" s="1"/>
  <c r="D352" i="10"/>
  <c r="C358" i="10"/>
  <c r="D357" i="10"/>
  <c r="D322" i="5"/>
  <c r="C323" i="5"/>
  <c r="C259" i="5"/>
  <c r="D258" i="5"/>
  <c r="D358" i="10" l="1"/>
  <c r="C359" i="10"/>
  <c r="C260" i="5"/>
  <c r="D259" i="5"/>
  <c r="D323" i="5"/>
  <c r="C324" i="5"/>
  <c r="D359" i="10" l="1"/>
  <c r="C360" i="10"/>
  <c r="C325" i="5"/>
  <c r="D324" i="5"/>
  <c r="D260" i="5"/>
  <c r="C261" i="5"/>
  <c r="D360" i="10" l="1"/>
  <c r="C361" i="10"/>
  <c r="C262" i="5"/>
  <c r="D261" i="5"/>
  <c r="C326" i="5"/>
  <c r="D325" i="5"/>
  <c r="D361" i="10" l="1"/>
  <c r="C362" i="10"/>
  <c r="C327" i="5"/>
  <c r="D326" i="5"/>
  <c r="D262" i="5"/>
  <c r="C263" i="5"/>
  <c r="D362" i="10" l="1"/>
  <c r="C363" i="10"/>
  <c r="D263" i="5"/>
  <c r="C264" i="5"/>
  <c r="D327" i="5"/>
  <c r="C328" i="5"/>
  <c r="C364" i="10" l="1"/>
  <c r="D363" i="10"/>
  <c r="C329" i="5"/>
  <c r="D328" i="5"/>
  <c r="C265" i="5"/>
  <c r="D264" i="5"/>
  <c r="C365" i="10" l="1"/>
  <c r="D364" i="10"/>
  <c r="C266" i="5"/>
  <c r="D265" i="5"/>
  <c r="C330" i="5"/>
  <c r="D329" i="5"/>
  <c r="C366" i="10" l="1"/>
  <c r="D365" i="10"/>
  <c r="C331" i="5"/>
  <c r="D330" i="5"/>
  <c r="C267" i="5"/>
  <c r="D266" i="5"/>
  <c r="C367" i="10" l="1"/>
  <c r="D366" i="10"/>
  <c r="C268" i="5"/>
  <c r="D267" i="5"/>
  <c r="C332" i="5"/>
  <c r="D331" i="5"/>
  <c r="C368" i="10" l="1"/>
  <c r="D367" i="10"/>
  <c r="C333" i="5"/>
  <c r="D332" i="5"/>
  <c r="C269" i="5"/>
  <c r="D268" i="5"/>
  <c r="D368" i="10" l="1"/>
  <c r="C369" i="10"/>
  <c r="C270" i="5"/>
  <c r="D269" i="5"/>
  <c r="D333" i="5"/>
  <c r="C334" i="5"/>
  <c r="D369" i="10" l="1"/>
  <c r="C370" i="10"/>
  <c r="D334" i="5"/>
  <c r="C335" i="5"/>
  <c r="C271" i="5"/>
  <c r="D270" i="5"/>
  <c r="C371" i="10" l="1"/>
  <c r="D370" i="10"/>
  <c r="C272" i="5"/>
  <c r="D271" i="5"/>
  <c r="C336" i="5"/>
  <c r="D335" i="5"/>
  <c r="C372" i="10" l="1"/>
  <c r="D371" i="10"/>
  <c r="D336" i="5"/>
  <c r="C337" i="5"/>
  <c r="C273" i="5"/>
  <c r="D272" i="5"/>
  <c r="D372" i="10" l="1"/>
  <c r="C373" i="10"/>
  <c r="D273" i="5"/>
  <c r="C274" i="5"/>
  <c r="D274" i="5" s="1"/>
  <c r="C338" i="5"/>
  <c r="D337" i="5"/>
  <c r="C374" i="10" l="1"/>
  <c r="D373" i="10"/>
  <c r="C339" i="5"/>
  <c r="D338" i="5"/>
  <c r="C375" i="10" l="1"/>
  <c r="D374" i="10"/>
  <c r="C340" i="5"/>
  <c r="D339" i="5"/>
  <c r="C376" i="10" l="1"/>
  <c r="D375" i="10"/>
  <c r="C341" i="5"/>
  <c r="D340" i="5"/>
  <c r="C377" i="10" l="1"/>
  <c r="D376" i="10"/>
  <c r="C342" i="5"/>
  <c r="D341" i="5"/>
  <c r="C378" i="10" l="1"/>
  <c r="D377" i="10"/>
  <c r="D342" i="5"/>
  <c r="C343" i="5"/>
  <c r="D378" i="10" l="1"/>
  <c r="C379" i="10"/>
  <c r="D343" i="5"/>
  <c r="C344" i="5"/>
  <c r="D344" i="5" s="1"/>
  <c r="D379" i="10" l="1"/>
  <c r="C395" i="10"/>
  <c r="D395" i="10" l="1"/>
  <c r="C396" i="10"/>
  <c r="D396" i="10" l="1"/>
  <c r="C397" i="10"/>
  <c r="D397" i="10" l="1"/>
  <c r="C398" i="10"/>
  <c r="C399" i="10" l="1"/>
  <c r="D398" i="10"/>
  <c r="C400" i="10" l="1"/>
  <c r="D399" i="10"/>
  <c r="C401" i="10" l="1"/>
  <c r="D400" i="10"/>
  <c r="C402" i="10" l="1"/>
  <c r="D401" i="10"/>
  <c r="C403" i="10" l="1"/>
  <c r="D402" i="10"/>
  <c r="D403" i="10" l="1"/>
  <c r="C404" i="10"/>
  <c r="C405" i="10" l="1"/>
  <c r="D404" i="10"/>
  <c r="C406" i="10" l="1"/>
  <c r="D405" i="10"/>
  <c r="C407" i="10" l="1"/>
  <c r="D406" i="10"/>
  <c r="D407" i="10" l="1"/>
  <c r="C408" i="10"/>
  <c r="C409" i="10" l="1"/>
  <c r="D408" i="10"/>
  <c r="C410" i="10" l="1"/>
  <c r="D409" i="10"/>
  <c r="C411" i="10" l="1"/>
  <c r="D410" i="10"/>
  <c r="C412" i="10" l="1"/>
  <c r="D411" i="10"/>
  <c r="C413" i="10" l="1"/>
  <c r="D413" i="10" s="1"/>
  <c r="D412" i="10"/>
</calcChain>
</file>

<file path=xl/sharedStrings.xml><?xml version="1.0" encoding="utf-8"?>
<sst xmlns="http://schemas.openxmlformats.org/spreadsheetml/2006/main" count="2856" uniqueCount="868">
  <si>
    <t>LGES, Ltd. / Research Park</t>
    <phoneticPr fontId="5" type="noConversion"/>
  </si>
  <si>
    <t>Copyright © 2024 LGES, Ltd. All Rights Reserved.</t>
    <phoneticPr fontId="5" type="noConversion"/>
  </si>
  <si>
    <t>Though every care has been taken to ensure the accuracy of this document, LGES, Ltd. cannot accept responsibility for any errors or omissions or for any loss occurred to any person, whether legal or natural, from acting, or refraining from action, as a result of the information contained herein. Information in this document is subject to change at any time without obligation to notify any person of such changes.
LGES, Ltd. may have patents or patent pending applications, trademarks copyrights or other intellectual property rights covering subject matter in this document. The furnishing of this document does not give the recipient or reader any license to these patents, trademarks copyrights or other intellectual property rights.
No part of this document may be communicated, distributed, reproduced or transmitted in any form or by any means, electronic or mechanical or otherwise, for any purpose, without the prior written permission of LGES Co, Ltd.
The document is subject to revision without further notice.
All brand names and product names mentioned in this document are trademarks or registered trademarks of their respective owners.</t>
  </si>
  <si>
    <t>Document Information</t>
  </si>
  <si>
    <t>Document Number</t>
  </si>
  <si>
    <t>-</t>
  </si>
  <si>
    <t>Document Name</t>
  </si>
  <si>
    <t>Company</t>
  </si>
  <si>
    <t>Category</t>
  </si>
  <si>
    <t>Communication Database</t>
  </si>
  <si>
    <t>Division</t>
  </si>
  <si>
    <t>Confidentiality</t>
  </si>
  <si>
    <t>Target Model</t>
  </si>
  <si>
    <t>Part</t>
  </si>
  <si>
    <t>Date</t>
  </si>
  <si>
    <t>Applying Point</t>
  </si>
  <si>
    <t>Confidential</t>
  </si>
  <si>
    <t>Documentation Approval</t>
  </si>
  <si>
    <t>Author</t>
  </si>
  <si>
    <t>Reviewer</t>
  </si>
  <si>
    <t>Approver</t>
  </si>
  <si>
    <t>Paek SeungKyu</t>
    <phoneticPr fontId="5" type="noConversion"/>
  </si>
  <si>
    <t>Lee SeongKeun</t>
    <phoneticPr fontId="5" type="noConversion"/>
  </si>
  <si>
    <t>Revision History</t>
  </si>
  <si>
    <t>Version</t>
  </si>
  <si>
    <t>Comments</t>
  </si>
  <si>
    <t>Position</t>
  </si>
  <si>
    <t>Approval</t>
  </si>
  <si>
    <t>AA</t>
    <phoneticPr fontId="5" type="noConversion"/>
  </si>
  <si>
    <t>First Release</t>
    <phoneticPr fontId="5" type="noConversion"/>
  </si>
  <si>
    <t>BSC Engineer</t>
    <phoneticPr fontId="5" type="noConversion"/>
  </si>
  <si>
    <t>AB</t>
    <phoneticPr fontId="5" type="noConversion"/>
  </si>
  <si>
    <t>Hyeon Byenggyu
Lee Chungyong</t>
    <phoneticPr fontId="5" type="noConversion"/>
  </si>
  <si>
    <t>AC</t>
    <phoneticPr fontId="5" type="noConversion"/>
  </si>
  <si>
    <t>Removed FullChargeMode</t>
    <phoneticPr fontId="5" type="noConversion"/>
  </si>
  <si>
    <t>Changed G3L_RBMS_Modbus_Map_v1.8</t>
    <phoneticPr fontId="5" type="noConversion"/>
  </si>
  <si>
    <t>Hyeon Byenggyu</t>
    <phoneticPr fontId="5" type="noConversion"/>
  </si>
  <si>
    <t>AE</t>
    <phoneticPr fontId="5" type="noConversion"/>
  </si>
  <si>
    <t>Changed G3L_RBMS_Modbus_Map_v2.2</t>
    <phoneticPr fontId="5" type="noConversion"/>
  </si>
  <si>
    <t>Added PreVPC status (BSC Data)</t>
    <phoneticPr fontId="5" type="noConversion"/>
  </si>
  <si>
    <t>The names of some diagnoses have changed.</t>
    <phoneticPr fontId="5" type="noConversion"/>
  </si>
  <si>
    <t>Added Reset Command (C2B).
Updated request ack.table.</t>
    <phoneticPr fontId="5" type="noConversion"/>
  </si>
  <si>
    <t>Updated request ack.table.</t>
    <phoneticPr fontId="5" type="noConversion"/>
  </si>
  <si>
    <t>Modified the address range for disabled racks in the Start command within C2B.</t>
    <phoneticPr fontId="5" type="noConversion"/>
  </si>
  <si>
    <t>Updated the description of BSC SOC value (B2C)</t>
    <phoneticPr fontId="5" type="noConversion"/>
  </si>
  <si>
    <t>Applied G3L_RBMS_Modbus_Map_v2.5d</t>
    <phoneticPr fontId="5" type="noConversion"/>
  </si>
  <si>
    <t>Encoding Rule</t>
    <phoneticPr fontId="5" type="noConversion"/>
  </si>
  <si>
    <t>Data legend</t>
    <phoneticPr fontId="5" type="noConversion"/>
  </si>
  <si>
    <t>Register
Size(bit)</t>
    <phoneticPr fontId="5" type="noConversion"/>
  </si>
  <si>
    <t>Value Type</t>
    <phoneticPr fontId="5" type="noConversion"/>
  </si>
  <si>
    <t>Value</t>
    <phoneticPr fontId="5" type="noConversion"/>
  </si>
  <si>
    <t>Encoded Value</t>
    <phoneticPr fontId="5" type="noConversion"/>
  </si>
  <si>
    <t>Description</t>
    <phoneticPr fontId="5" type="noConversion"/>
  </si>
  <si>
    <t>SINT</t>
    <phoneticPr fontId="5" type="noConversion"/>
  </si>
  <si>
    <t>0x7FFF</t>
    <phoneticPr fontId="5" type="noConversion"/>
  </si>
  <si>
    <t>Reserved</t>
    <phoneticPr fontId="5" type="noConversion"/>
  </si>
  <si>
    <t>Reserved for future use</t>
    <phoneticPr fontId="5" type="noConversion"/>
  </si>
  <si>
    <t>0x8000</t>
    <phoneticPr fontId="5" type="noConversion"/>
  </si>
  <si>
    <t>Removed</t>
    <phoneticPr fontId="5" type="noConversion"/>
  </si>
  <si>
    <t>No longer used</t>
    <phoneticPr fontId="5" type="noConversion"/>
  </si>
  <si>
    <t>UINT</t>
    <phoneticPr fontId="5" type="noConversion"/>
  </si>
  <si>
    <t>0xFFFF</t>
    <phoneticPr fontId="5" type="noConversion"/>
  </si>
  <si>
    <t>N/A</t>
    <phoneticPr fontId="5" type="noConversion"/>
  </si>
  <si>
    <t>Not used</t>
    <phoneticPr fontId="5" type="noConversion"/>
  </si>
  <si>
    <t>Binary Encoding Rule</t>
    <phoneticPr fontId="5" type="noConversion"/>
  </si>
  <si>
    <t>Bit7</t>
    <phoneticPr fontId="5" type="noConversion"/>
  </si>
  <si>
    <t>Bit6</t>
    <phoneticPr fontId="5" type="noConversion"/>
  </si>
  <si>
    <t>Bit5</t>
    <phoneticPr fontId="5" type="noConversion"/>
  </si>
  <si>
    <t>Bit4</t>
    <phoneticPr fontId="5" type="noConversion"/>
  </si>
  <si>
    <t>Bit3</t>
    <phoneticPr fontId="5" type="noConversion"/>
  </si>
  <si>
    <t>Bit2</t>
    <phoneticPr fontId="5" type="noConversion"/>
  </si>
  <si>
    <t>Bit1</t>
    <phoneticPr fontId="5" type="noConversion"/>
  </si>
  <si>
    <t>Bit0</t>
    <phoneticPr fontId="5" type="noConversion"/>
  </si>
  <si>
    <t>Byte0</t>
    <phoneticPr fontId="5" type="noConversion"/>
  </si>
  <si>
    <t>Byte1</t>
    <phoneticPr fontId="5" type="noConversion"/>
  </si>
  <si>
    <t>[Input Register - Slave ID 1] : BSC → Controller (B2C)</t>
    <phoneticPr fontId="5" type="noConversion"/>
  </si>
  <si>
    <t>[Holding Register Slave ID 1 ] : Controller → BSC (C2B)</t>
    <phoneticPr fontId="5" type="noConversion"/>
  </si>
  <si>
    <t>BSC Data</t>
    <phoneticPr fontId="5" type="noConversion"/>
  </si>
  <si>
    <t>Controller Data</t>
    <phoneticPr fontId="5" type="noConversion"/>
  </si>
  <si>
    <t>Source</t>
    <phoneticPr fontId="5" type="noConversion"/>
  </si>
  <si>
    <t>Start</t>
    <phoneticPr fontId="5" type="noConversion"/>
  </si>
  <si>
    <t>End</t>
    <phoneticPr fontId="5" type="noConversion"/>
  </si>
  <si>
    <t>Function Code</t>
    <phoneticPr fontId="5" type="noConversion"/>
  </si>
  <si>
    <t>Nameplate</t>
    <phoneticPr fontId="5" type="noConversion"/>
  </si>
  <si>
    <t>Read : 0x04</t>
    <phoneticPr fontId="5" type="noConversion"/>
  </si>
  <si>
    <t>Controller</t>
    <phoneticPr fontId="5" type="noConversion"/>
  </si>
  <si>
    <t>Write: 0x06, 0x10</t>
    <phoneticPr fontId="5" type="noConversion"/>
  </si>
  <si>
    <t>Request Ack.</t>
    <phoneticPr fontId="5" type="noConversion"/>
  </si>
  <si>
    <t>Essential</t>
    <phoneticPr fontId="5" type="noConversion"/>
  </si>
  <si>
    <t>Summary</t>
    <phoneticPr fontId="5" type="noConversion"/>
  </si>
  <si>
    <t>Rack Periodic Data</t>
    <phoneticPr fontId="5" type="noConversion"/>
  </si>
  <si>
    <t>Rack1 Nameplate</t>
    <phoneticPr fontId="5" type="noConversion"/>
  </si>
  <si>
    <t>Rack1 Summary</t>
    <phoneticPr fontId="5" type="noConversion"/>
  </si>
  <si>
    <t>Rack2 Nameplate</t>
    <phoneticPr fontId="5" type="noConversion"/>
  </si>
  <si>
    <t>Rack2 Summary</t>
    <phoneticPr fontId="5" type="noConversion"/>
  </si>
  <si>
    <t>…
Rack N</t>
    <phoneticPr fontId="5" type="noConversion"/>
  </si>
  <si>
    <t>…
30170 + (N-1) * 150</t>
    <phoneticPr fontId="5" type="noConversion"/>
  </si>
  <si>
    <t>…
Start(N) + 150 - 1</t>
    <phoneticPr fontId="5" type="noConversion"/>
  </si>
  <si>
    <t>BSC Flag Data</t>
    <phoneticPr fontId="5" type="noConversion"/>
  </si>
  <si>
    <t>Disabled Rack</t>
    <phoneticPr fontId="5" type="noConversion"/>
  </si>
  <si>
    <t>N</t>
    <phoneticPr fontId="5" type="noConversion"/>
  </si>
  <si>
    <t>Read : 0x02</t>
    <phoneticPr fontId="5" type="noConversion"/>
  </si>
  <si>
    <t>Online Rack</t>
    <phoneticPr fontId="5" type="noConversion"/>
  </si>
  <si>
    <t>N + 1</t>
    <phoneticPr fontId="5" type="noConversion"/>
  </si>
  <si>
    <t>2N</t>
    <phoneticPr fontId="5" type="noConversion"/>
  </si>
  <si>
    <t>Alarm Rack</t>
    <phoneticPr fontId="5" type="noConversion"/>
  </si>
  <si>
    <t>2N + 1</t>
    <phoneticPr fontId="5" type="noConversion"/>
  </si>
  <si>
    <t>3N</t>
    <phoneticPr fontId="5" type="noConversion"/>
  </si>
  <si>
    <t>Waring Rack</t>
    <phoneticPr fontId="5" type="noConversion"/>
  </si>
  <si>
    <t>3N +1</t>
    <phoneticPr fontId="5" type="noConversion"/>
  </si>
  <si>
    <t>4N</t>
    <phoneticPr fontId="5" type="noConversion"/>
  </si>
  <si>
    <t>Fault Rack</t>
    <phoneticPr fontId="5" type="noConversion"/>
  </si>
  <si>
    <t>4N + 1</t>
    <phoneticPr fontId="5" type="noConversion"/>
  </si>
  <si>
    <t>5N</t>
    <phoneticPr fontId="5" type="noConversion"/>
  </si>
  <si>
    <t>Non-balancing Rack</t>
    <phoneticPr fontId="5" type="noConversion"/>
  </si>
  <si>
    <t>5N + 1</t>
    <phoneticPr fontId="5" type="noConversion"/>
  </si>
  <si>
    <t>6N</t>
    <phoneticPr fontId="5" type="noConversion"/>
  </si>
  <si>
    <t>Input Registers(Modbus-TCP) Slave ID 1</t>
    <phoneticPr fontId="5" type="noConversion"/>
  </si>
  <si>
    <t>The Controller must use the function code 4(0x04) to read the data.</t>
    <phoneticPr fontId="5" type="noConversion"/>
  </si>
  <si>
    <t>Battery Section Controller(BSC) Data</t>
    <phoneticPr fontId="5" type="noConversion"/>
  </si>
  <si>
    <t>Updated every 1 second, Read every 1 second.(except Nameplate)</t>
    <phoneticPr fontId="5" type="noConversion"/>
  </si>
  <si>
    <t>MODBUS
Address</t>
    <phoneticPr fontId="5" type="noConversion"/>
  </si>
  <si>
    <t>Address Hex</t>
    <phoneticPr fontId="5" type="noConversion"/>
  </si>
  <si>
    <t>Type</t>
    <phoneticPr fontId="5" type="noConversion"/>
  </si>
  <si>
    <t>Name</t>
    <phoneticPr fontId="5" type="noConversion"/>
  </si>
  <si>
    <t>Unit</t>
    <phoneticPr fontId="5" type="noConversion"/>
  </si>
  <si>
    <t>Scale</t>
    <phoneticPr fontId="5" type="noConversion"/>
  </si>
  <si>
    <t>Description</t>
  </si>
  <si>
    <t>Nameplate
(Fixed)</t>
    <phoneticPr fontId="5" type="noConversion"/>
  </si>
  <si>
    <t>uint32</t>
    <phoneticPr fontId="5" type="noConversion"/>
  </si>
  <si>
    <t>BSC S/W Version</t>
    <phoneticPr fontId="5" type="noConversion"/>
  </si>
  <si>
    <t>b0 ~ b31 : Version(x.x.x.x)</t>
    <phoneticPr fontId="5" type="noConversion"/>
  </si>
  <si>
    <t>-</t>
    <phoneticPr fontId="5" type="noConversion"/>
  </si>
  <si>
    <t>BSC SW Version
e.g.) 0x0102(30000), 0x1112(30001) → Ver 1.2.17.18</t>
  </si>
  <si>
    <t>uint16</t>
    <phoneticPr fontId="5" type="noConversion"/>
  </si>
  <si>
    <t>No. of total racks</t>
    <phoneticPr fontId="5" type="noConversion"/>
  </si>
  <si>
    <t>b0 ~ b15: The number of total racks</t>
    <phoneticPr fontId="5" type="noConversion"/>
  </si>
  <si>
    <t>ea</t>
    <phoneticPr fontId="5" type="noConversion"/>
  </si>
  <si>
    <t>The number of total racks in the battery section
e.g.) 0x000B → 11ea</t>
  </si>
  <si>
    <t>uint16</t>
  </si>
  <si>
    <t>Request Acknowledge</t>
    <phoneticPr fontId="5" type="noConversion"/>
  </si>
  <si>
    <t>0x0000: None</t>
    <phoneticPr fontId="5" type="noConversion"/>
  </si>
  <si>
    <t>enum</t>
    <phoneticPr fontId="5" type="noConversion"/>
  </si>
  <si>
    <t>Initial status</t>
    <phoneticPr fontId="5" type="noConversion"/>
  </si>
  <si>
    <t>0x0001: In Progress</t>
    <phoneticPr fontId="5" type="noConversion"/>
  </si>
  <si>
    <t>The request was accepted and it is now in progress</t>
    <phoneticPr fontId="5" type="noConversion"/>
  </si>
  <si>
    <t>0x0002: Done</t>
    <phoneticPr fontId="5" type="noConversion"/>
  </si>
  <si>
    <r>
      <t xml:space="preserve">The process of the request has done
</t>
    </r>
    <r>
      <rPr>
        <sz val="10"/>
        <color rgb="FF0070C0"/>
        <rFont val="Arial"/>
        <family val="2"/>
      </rPr>
      <t xml:space="preserve"> - This will change to 0x0 None after 3seconds if there isn't command request anymore.</t>
    </r>
    <phoneticPr fontId="5" type="noConversion"/>
  </si>
  <si>
    <t>0x0003: Reserved</t>
    <phoneticPr fontId="5" type="noConversion"/>
  </si>
  <si>
    <t>0x0004: Reserved</t>
    <phoneticPr fontId="5" type="noConversion"/>
  </si>
  <si>
    <t>0x0005: BMS Not Connected</t>
    <phoneticPr fontId="5" type="noConversion"/>
  </si>
  <si>
    <t>Not Accepted: The BSC isn’t communicating with the racks yet.</t>
    <phoneticPr fontId="5" type="noConversion"/>
  </si>
  <si>
    <t>0x0006: BMS Already Connected</t>
    <phoneticPr fontId="5" type="noConversion"/>
  </si>
  <si>
    <t>Not Accepted: The BSC has already been communicating with the racks.</t>
    <phoneticPr fontId="5" type="noConversion"/>
  </si>
  <si>
    <t>0x0007: Under BSC Initializing</t>
    <phoneticPr fontId="5" type="noConversion"/>
  </si>
  <si>
    <t>Not Accepted: The BSC is initializing the communication with the racks.</t>
    <phoneticPr fontId="5" type="noConversion"/>
  </si>
  <si>
    <t>0x0008: All Contactors Already Opened</t>
    <phoneticPr fontId="5" type="noConversion"/>
  </si>
  <si>
    <t>Not Accepted: Every rack’s contactor is already opened.</t>
    <phoneticPr fontId="5" type="noConversion"/>
  </si>
  <si>
    <t>0x0009: BSC Already Online</t>
    <phoneticPr fontId="5" type="noConversion"/>
  </si>
  <si>
    <t>Not Accepted: There is(are) one or more online racks.</t>
    <phoneticPr fontId="5" type="noConversion"/>
  </si>
  <si>
    <t>0x000A: Current Flows</t>
    <phoneticPr fontId="5" type="noConversion"/>
  </si>
  <si>
    <t>Not Accepted: The current is now flowing into or out of the battery. (over ±0.5A * the number of online racks)</t>
    <phoneticPr fontId="5" type="noConversion"/>
  </si>
  <si>
    <t>0x000B: BSC Manual mode</t>
    <phoneticPr fontId="5" type="noConversion"/>
  </si>
  <si>
    <t>Not Accepted: BSC state is manual mode.</t>
    <phoneticPr fontId="5" type="noConversion"/>
  </si>
  <si>
    <t>0x000C: BSC Emergency mode</t>
    <phoneticPr fontId="5" type="noConversion"/>
  </si>
  <si>
    <t>Not Accepted: BSC state is emergency mode.</t>
    <phoneticPr fontId="5" type="noConversion"/>
  </si>
  <si>
    <t>0x000D : BSC Normal Power Saving mode</t>
    <phoneticPr fontId="5" type="noConversion"/>
  </si>
  <si>
    <t>Not Accepted: BSC state is normal power saving mode.</t>
    <phoneticPr fontId="5" type="noConversion"/>
  </si>
  <si>
    <t>0x000E : BSC Normal mode</t>
    <phoneticPr fontId="5" type="noConversion"/>
  </si>
  <si>
    <t>Not Accepted: BSC state is normal mode.</t>
    <phoneticPr fontId="5" type="noConversion"/>
  </si>
  <si>
    <t>0x000F: BSC Warning or Fault</t>
    <phoneticPr fontId="5" type="noConversion"/>
  </si>
  <si>
    <t>Not Accepted: A warning/fault diagnisos is occurred in the BSC.</t>
    <phoneticPr fontId="5" type="noConversion"/>
  </si>
  <si>
    <t>0x0010: Under Contactor control</t>
    <phoneticPr fontId="5" type="noConversion"/>
  </si>
  <si>
    <t>Not Accepted: The BSC is controlling the contactor.</t>
    <phoneticPr fontId="5" type="noConversion"/>
  </si>
  <si>
    <t>0x0011: Over Voltage(or SOC) Deviation</t>
    <phoneticPr fontId="5" type="noConversion"/>
  </si>
  <si>
    <t>Not Accepted: Voltage(or SOC) deviation between racks is too high to close.</t>
    <phoneticPr fontId="5" type="noConversion"/>
  </si>
  <si>
    <t>0x0012: Within Cooldown Time</t>
    <phoneticPr fontId="5" type="noConversion"/>
  </si>
  <si>
    <t>Not Accepted: Event Clear request is not allowed within cooldown time.</t>
    <phoneticPr fontId="5" type="noConversion"/>
  </si>
  <si>
    <t>0x0013: Target Rack Not Exist</t>
    <phoneticPr fontId="5" type="noConversion"/>
  </si>
  <si>
    <t>Not Accepted: There are no target racks.</t>
    <phoneticPr fontId="5" type="noConversion"/>
  </si>
  <si>
    <t>0x0014: removed</t>
    <phoneticPr fontId="5" type="noConversion"/>
  </si>
  <si>
    <t>remvoed</t>
    <phoneticPr fontId="5" type="noConversion"/>
  </si>
  <si>
    <t>0x0030: Invalid Request</t>
    <phoneticPr fontId="5" type="noConversion"/>
  </si>
  <si>
    <t>Not Accepted: Request is not acceptable.
e.g.) when a cotrlloer sends an undefined request to BSC</t>
  </si>
  <si>
    <t>0x0031 : Invalid Argument</t>
    <phoneticPr fontId="5" type="noConversion"/>
  </si>
  <si>
    <t>Not Accepted : Invalid Arguments
e.g.) when a controller sends request to BSC with invalid arguments</t>
  </si>
  <si>
    <t>~ Undefined</t>
    <phoneticPr fontId="5" type="noConversion"/>
  </si>
  <si>
    <t>Last Accepted Reqeust</t>
    <phoneticPr fontId="5" type="noConversion"/>
  </si>
  <si>
    <t>Accepted Controller's Command Request</t>
    <phoneticPr fontId="5" type="noConversion"/>
  </si>
  <si>
    <r>
      <t xml:space="preserve">Accepted request(Conroller </t>
    </r>
    <r>
      <rPr>
        <sz val="10"/>
        <rFont val="돋움"/>
        <family val="3"/>
        <charset val="129"/>
      </rPr>
      <t>→</t>
    </r>
    <r>
      <rPr>
        <sz val="10"/>
        <rFont val="Arial"/>
        <family val="2"/>
      </rPr>
      <t xml:space="preserve"> BSC 40010) will be written while the request ack.(30030) is In Progress(0x0001) or Done(0x0002)
If the request is not accepted or turn to None (in 30030), this value will be zero.</t>
    </r>
    <phoneticPr fontId="5" type="noConversion"/>
  </si>
  <si>
    <t>uint15</t>
  </si>
  <si>
    <t>BSC Heartbeat</t>
    <phoneticPr fontId="5" type="noConversion"/>
  </si>
  <si>
    <t>b0 ~ b15: Heartbeat</t>
    <phoneticPr fontId="5" type="noConversion"/>
  </si>
  <si>
    <t>The value of this continually cycles from 0(zero) to 65535 with an interval of 1second.</t>
    <phoneticPr fontId="5" type="noConversion"/>
  </si>
  <si>
    <t>BSC State</t>
    <phoneticPr fontId="5" type="noConversion"/>
  </si>
  <si>
    <t>0x0000: None</t>
  </si>
  <si>
    <t>Read the BSC operation manual for more information.</t>
    <phoneticPr fontId="5" type="noConversion"/>
  </si>
  <si>
    <t>0x0001: Not Initialized</t>
    <phoneticPr fontId="5" type="noConversion"/>
  </si>
  <si>
    <r>
      <rPr>
        <sz val="10"/>
        <color theme="1"/>
        <rFont val="돋움"/>
        <family val="3"/>
        <charset val="129"/>
      </rPr>
      <t>＊</t>
    </r>
    <r>
      <rPr>
        <sz val="10"/>
        <color theme="1"/>
        <rFont val="Arial"/>
        <family val="2"/>
      </rPr>
      <t>Not Initialized: The battery system is shutdown (The BSC isn't communicating with any BMS.)</t>
    </r>
    <phoneticPr fontId="5" type="noConversion"/>
  </si>
  <si>
    <t>0x0002: Initializing</t>
  </si>
  <si>
    <r>
      <rPr>
        <sz val="10"/>
        <color theme="1"/>
        <rFont val="돋움"/>
        <family val="3"/>
        <charset val="129"/>
      </rPr>
      <t>＊</t>
    </r>
    <r>
      <rPr>
        <sz val="10"/>
        <color theme="1"/>
        <rFont val="Arial"/>
        <family val="2"/>
      </rPr>
      <t>Initializing: The BSC and RBMS are being initialized</t>
    </r>
    <phoneticPr fontId="5" type="noConversion"/>
  </si>
  <si>
    <t>0x0003: Normal</t>
    <phoneticPr fontId="5" type="noConversion"/>
  </si>
  <si>
    <r>
      <rPr>
        <sz val="10"/>
        <color theme="1"/>
        <rFont val="돋움"/>
        <family val="3"/>
        <charset val="129"/>
      </rPr>
      <t>＊</t>
    </r>
    <r>
      <rPr>
        <sz val="10"/>
        <color theme="1"/>
        <rFont val="Arial"/>
        <family val="2"/>
      </rPr>
      <t>Normal: The battery system can be operated by controller</t>
    </r>
    <phoneticPr fontId="5" type="noConversion"/>
  </si>
  <si>
    <t>0x0004: NPS (Normal Power Saving)</t>
  </si>
  <si>
    <r>
      <rPr>
        <sz val="10"/>
        <color theme="1"/>
        <rFont val="돋움"/>
        <family val="3"/>
        <charset val="129"/>
      </rPr>
      <t>＊</t>
    </r>
    <r>
      <rPr>
        <sz val="10"/>
        <color theme="1"/>
        <rFont val="Arial"/>
        <family val="2"/>
      </rPr>
      <t>NPS: The battery system makes whole battery packs go into hibernation to save the battery consumption when idle for a long time</t>
    </r>
    <phoneticPr fontId="5" type="noConversion"/>
  </si>
  <si>
    <t>0x0005: Manual</t>
  </si>
  <si>
    <r>
      <rPr>
        <sz val="10"/>
        <color theme="1"/>
        <rFont val="돋움"/>
        <family val="3"/>
        <charset val="129"/>
      </rPr>
      <t>＊</t>
    </r>
    <r>
      <rPr>
        <sz val="10"/>
        <color theme="1"/>
        <rFont val="Arial"/>
        <family val="2"/>
      </rPr>
      <t>Manual: The battery system can be charged or discharged selectively for the maintenance</t>
    </r>
    <phoneticPr fontId="5" type="noConversion"/>
  </si>
  <si>
    <t>0x0006: Emergency</t>
  </si>
  <si>
    <r>
      <rPr>
        <sz val="10"/>
        <color theme="1"/>
        <rFont val="돋움"/>
        <family val="3"/>
        <charset val="129"/>
      </rPr>
      <t>＊</t>
    </r>
    <r>
      <rPr>
        <sz val="10"/>
        <color theme="1"/>
        <rFont val="Arial"/>
        <family val="2"/>
      </rPr>
      <t>Emergency: The battery system or the controller is in emergency (whole racks will be tripped immediately)</t>
    </r>
    <phoneticPr fontId="5" type="noConversion"/>
  </si>
  <si>
    <t>0x0007: removed</t>
    <phoneticPr fontId="5" type="noConversion"/>
  </si>
  <si>
    <t>removed</t>
    <phoneticPr fontId="5" type="noConversion"/>
  </si>
  <si>
    <t xml:space="preserve">      : Reserved</t>
  </si>
  <si>
    <t>bit16</t>
    <phoneticPr fontId="5" type="noConversion"/>
  </si>
  <si>
    <t>BSC Information</t>
    <phoneticPr fontId="5" type="noConversion"/>
  </si>
  <si>
    <t>b0: BSC Alarm</t>
    <phoneticPr fontId="5" type="noConversion"/>
  </si>
  <si>
    <t>Bit Flags</t>
    <phoneticPr fontId="5" type="noConversion"/>
  </si>
  <si>
    <t>0: Normal, 1: The BSC alarm has occurred.</t>
    <phoneticPr fontId="5" type="noConversion"/>
  </si>
  <si>
    <t>b1: BSC Warning</t>
    <phoneticPr fontId="5" type="noConversion"/>
  </si>
  <si>
    <t>0: Normal, 1: The BSC warning has occurred.</t>
    <phoneticPr fontId="5" type="noConversion"/>
  </si>
  <si>
    <t>b2: BSC Fault</t>
    <phoneticPr fontId="5" type="noConversion"/>
  </si>
  <si>
    <t>0: Normal, 1: The BSC fault has occurred.</t>
    <phoneticPr fontId="5" type="noConversion"/>
  </si>
  <si>
    <t>b3: Reserved</t>
    <phoneticPr fontId="5" type="noConversion"/>
  </si>
  <si>
    <t>b4 ~ b5: BSC Charge status 
(b00: None, b01: Charge, b10: Dischage, b11: Idle)</t>
    <phoneticPr fontId="5" type="noConversion"/>
  </si>
  <si>
    <t>The battery section is charged, discharged or the idle state.
* 0b01, Charge : The BSC currents &gt; 0.5A * the number of online racks.
* 0b10, Discharge : The BSC currents &lt; -0.5A * the number of online racks.
* 0b11, Idle : The BSC is neither charged nor discharged.</t>
    <phoneticPr fontId="5" type="noConversion"/>
  </si>
  <si>
    <t>b6: Reserved</t>
    <phoneticPr fontId="5" type="noConversion"/>
  </si>
  <si>
    <t>b7: Reserved</t>
    <phoneticPr fontId="5" type="noConversion"/>
  </si>
  <si>
    <t>b8: Reserved</t>
    <phoneticPr fontId="5" type="noConversion"/>
  </si>
  <si>
    <t>b9: Reserved</t>
    <phoneticPr fontId="5" type="noConversion"/>
  </si>
  <si>
    <t>b10: PreVPC</t>
    <phoneticPr fontId="5" type="noConversion"/>
  </si>
  <si>
    <t>0: Not applied, 1: Applied
Pre Voltage-based Power Control : System Power Limit is reduced.</t>
    <phoneticPr fontId="5" type="noConversion"/>
  </si>
  <si>
    <t>b11: VPC</t>
    <phoneticPr fontId="5" type="noConversion"/>
  </si>
  <si>
    <t>0: Not applied, 1: Applied
Voltage-based Power Control : System Power Limit is reduced.</t>
    <phoneticPr fontId="5" type="noConversion"/>
  </si>
  <si>
    <t>b12: SPC</t>
    <phoneticPr fontId="5" type="noConversion"/>
  </si>
  <si>
    <t>0: Not applied, 1: Applied
SOC-based Power Control : System Power Limit is reduced.</t>
    <phoneticPr fontId="5" type="noConversion"/>
  </si>
  <si>
    <t>b13: TPC</t>
    <phoneticPr fontId="5" type="noConversion"/>
  </si>
  <si>
    <t>0: Not applied, 1: Applied
Temperature-based Power Control : System Power Limit is reduced.</t>
    <phoneticPr fontId="5" type="noConversion"/>
  </si>
  <si>
    <t>b14: Reserved</t>
    <phoneticPr fontId="5" type="noConversion"/>
  </si>
  <si>
    <t>b15: Reserved</t>
    <phoneticPr fontId="5" type="noConversion"/>
  </si>
  <si>
    <t>No. of online racks</t>
    <phoneticPr fontId="5" type="noConversion"/>
  </si>
  <si>
    <t>b0 ~ b15: The number of online racks</t>
    <phoneticPr fontId="5" type="noConversion"/>
  </si>
  <si>
    <t>The number of racks which can be charged or discharged
e.g.) 0x000B → 11ea</t>
  </si>
  <si>
    <r>
      <t xml:space="preserve">Controller </t>
    </r>
    <r>
      <rPr>
        <sz val="10"/>
        <rFont val="돋움"/>
        <family val="3"/>
        <charset val="129"/>
      </rPr>
      <t>↔</t>
    </r>
    <r>
      <rPr>
        <sz val="10"/>
        <rFont val="Arial"/>
        <family val="2"/>
      </rPr>
      <t xml:space="preserve"> BSC LOC</t>
    </r>
    <phoneticPr fontId="5" type="noConversion"/>
  </si>
  <si>
    <t>b0: Alarm</t>
    <phoneticPr fontId="5" type="noConversion"/>
  </si>
  <si>
    <t>Bit Flags</t>
  </si>
  <si>
    <t>There is loss of comm. between Controller and BSC</t>
    <phoneticPr fontId="5" type="noConversion"/>
  </si>
  <si>
    <t>b1: Warning</t>
    <phoneticPr fontId="5" type="noConversion"/>
  </si>
  <si>
    <t>b2: Fault</t>
    <phoneticPr fontId="5" type="noConversion"/>
  </si>
  <si>
    <t>b3: Alarm</t>
    <phoneticPr fontId="5" type="noConversion"/>
  </si>
  <si>
    <t>b4: Warning</t>
    <phoneticPr fontId="5" type="noConversion"/>
  </si>
  <si>
    <t>b5: Fault</t>
    <phoneticPr fontId="5" type="noConversion"/>
  </si>
  <si>
    <t>Under SOC</t>
    <phoneticPr fontId="5" type="noConversion"/>
  </si>
  <si>
    <t>b6: Alarm</t>
    <phoneticPr fontId="5" type="noConversion"/>
  </si>
  <si>
    <t>Battery SOC reached the lower limit</t>
    <phoneticPr fontId="5" type="noConversion"/>
  </si>
  <si>
    <t>b7: Warning</t>
    <phoneticPr fontId="5" type="noConversion"/>
  </si>
  <si>
    <t>b8: Fault</t>
    <phoneticPr fontId="5" type="noConversion"/>
  </si>
  <si>
    <t>Over SOC</t>
    <phoneticPr fontId="5" type="noConversion"/>
  </si>
  <si>
    <t>b9: Alarm</t>
    <phoneticPr fontId="5" type="noConversion"/>
  </si>
  <si>
    <t>Battery SOC reached the upper limit</t>
    <phoneticPr fontId="5" type="noConversion"/>
  </si>
  <si>
    <t>b10: Warning</t>
    <phoneticPr fontId="5" type="noConversion"/>
  </si>
  <si>
    <t>b11: Fault</t>
    <phoneticPr fontId="5" type="noConversion"/>
  </si>
  <si>
    <t>Over Discharge Power</t>
    <phoneticPr fontId="5" type="noConversion"/>
  </si>
  <si>
    <t>b12: Alarm</t>
    <phoneticPr fontId="5" type="noConversion"/>
  </si>
  <si>
    <t>Higher power than the permissible limit has been discharged</t>
    <phoneticPr fontId="5" type="noConversion"/>
  </si>
  <si>
    <t>b13: Warning</t>
    <phoneticPr fontId="5" type="noConversion"/>
  </si>
  <si>
    <t>b14: Fault</t>
    <phoneticPr fontId="5" type="noConversion"/>
  </si>
  <si>
    <t>b15: reserved</t>
  </si>
  <si>
    <t>Over Charge Power</t>
    <phoneticPr fontId="5" type="noConversion"/>
  </si>
  <si>
    <t>Higher power than the permissible limit has been charged</t>
    <phoneticPr fontId="5" type="noConversion"/>
  </si>
  <si>
    <t>SLF
(System Logging Failure)</t>
    <phoneticPr fontId="5" type="noConversion"/>
  </si>
  <si>
    <t>System Logging failed due to lack of HDD space or hardware issues</t>
    <phoneticPr fontId="5" type="noConversion"/>
  </si>
  <si>
    <t>MFRD</t>
    <phoneticPr fontId="5" type="noConversion"/>
  </si>
  <si>
    <t>There is a rack that multiple diagnostics have occurred</t>
    <phoneticPr fontId="5" type="noConversion"/>
  </si>
  <si>
    <t>Over Offline Rack</t>
    <phoneticPr fontId="5" type="noConversion"/>
  </si>
  <si>
    <t>RBMS SW Version Mismatch</t>
    <phoneticPr fontId="5" type="noConversion"/>
  </si>
  <si>
    <t>If any RACK is not supported, or if there is a different version between racks</t>
    <phoneticPr fontId="5" type="noConversion"/>
  </si>
  <si>
    <t>BSC SOC (among online racks)</t>
    <phoneticPr fontId="5" type="noConversion"/>
  </si>
  <si>
    <t>b0 ~ b15: System SOC calculated based on online racks</t>
    <phoneticPr fontId="5" type="noConversion"/>
  </si>
  <si>
    <t>%</t>
    <phoneticPr fontId="5" type="noConversion"/>
  </si>
  <si>
    <r>
      <t xml:space="preserve">System SOC calculated based on online racks
e.g.) 0x20DA </t>
    </r>
    <r>
      <rPr>
        <sz val="10"/>
        <rFont val="돋움"/>
        <family val="3"/>
        <charset val="129"/>
      </rPr>
      <t>→</t>
    </r>
    <r>
      <rPr>
        <sz val="10"/>
        <rFont val="Arial"/>
        <family val="2"/>
      </rPr>
      <t xml:space="preserve"> 8410 * 0.01 = 84.10%</t>
    </r>
    <phoneticPr fontId="5" type="noConversion"/>
  </si>
  <si>
    <t>BSC SOH (among online racks)</t>
    <phoneticPr fontId="5" type="noConversion"/>
  </si>
  <si>
    <t>b0 ~ b15: Average SOH of all the online racks</t>
    <phoneticPr fontId="5" type="noConversion"/>
  </si>
  <si>
    <t>The average SOH of all the online racks
e.g.) 0x20DA → 8410 * 0.01 = 84.10%</t>
  </si>
  <si>
    <t>Anticipated BSC DC Voltage (when there is no online rack)</t>
    <phoneticPr fontId="5" type="noConversion"/>
  </si>
  <si>
    <t>b0 ~ b31: Anticipated Average voltage of all the battery racks</t>
    <phoneticPr fontId="5" type="noConversion"/>
  </si>
  <si>
    <t>V</t>
    <phoneticPr fontId="5" type="noConversion"/>
  </si>
  <si>
    <t>The anticipated BSC DC voltage, after racks’ contactors are closed
e.g.) 0x0072 C14D → 7520589 * 0.0001 = 752.0589V</t>
  </si>
  <si>
    <t>This is valid only when every rack’s contactor is opened. (The number of online racks is zero.)</t>
    <phoneticPr fontId="5" type="noConversion"/>
  </si>
  <si>
    <t>BSC DC Voltage (among online racks)</t>
    <phoneticPr fontId="5" type="noConversion"/>
  </si>
  <si>
    <t>b0 ~ b31: Average voltage of all the online racks</t>
    <phoneticPr fontId="5" type="noConversion"/>
  </si>
  <si>
    <r>
      <t>The average of voltage of all the online racks</t>
    </r>
    <r>
      <rPr>
        <sz val="10"/>
        <color rgb="FF0070C0"/>
        <rFont val="Arial"/>
        <family val="2"/>
      </rPr>
      <t/>
    </r>
    <phoneticPr fontId="5" type="noConversion"/>
  </si>
  <si>
    <t>e.g.) 0x0072 C14D → 7520589 * 0.0001 = 752.0589V</t>
  </si>
  <si>
    <t>sint32</t>
    <phoneticPr fontId="5" type="noConversion"/>
  </si>
  <si>
    <t>BSC DC Current</t>
    <phoneticPr fontId="5" type="noConversion"/>
  </si>
  <si>
    <t>b0 ~ b31: Total amount of DC current in the battery section</t>
    <phoneticPr fontId="5" type="noConversion"/>
  </si>
  <si>
    <t>A</t>
    <phoneticPr fontId="5" type="noConversion"/>
  </si>
  <si>
    <r>
      <t>Total amount of DC current in the battery section</t>
    </r>
    <r>
      <rPr>
        <sz val="10"/>
        <color rgb="FF0070C0"/>
        <rFont val="Arial"/>
        <family val="2"/>
      </rPr>
      <t/>
    </r>
    <phoneticPr fontId="5" type="noConversion"/>
  </si>
  <si>
    <r>
      <t xml:space="preserve">e.g.) 0x0001 32A1 </t>
    </r>
    <r>
      <rPr>
        <sz val="10"/>
        <color rgb="FF0070C0"/>
        <rFont val="돋움"/>
        <family val="3"/>
        <charset val="129"/>
      </rPr>
      <t>→</t>
    </r>
    <r>
      <rPr>
        <sz val="10"/>
        <color rgb="FF0070C0"/>
        <rFont val="Arial"/>
        <family val="2"/>
      </rPr>
      <t xml:space="preserve"> 78497 * 0.001 = 78.497A, 0xFFFE CD5F </t>
    </r>
    <r>
      <rPr>
        <sz val="10"/>
        <color rgb="FF0070C0"/>
        <rFont val="돋움"/>
        <family val="3"/>
        <charset val="129"/>
      </rPr>
      <t>→</t>
    </r>
    <r>
      <rPr>
        <sz val="10"/>
        <color rgb="FF0070C0"/>
        <rFont val="Arial"/>
        <family val="2"/>
      </rPr>
      <t xml:space="preserve"> -78497 * 0.001 = -78.497A</t>
    </r>
    <phoneticPr fontId="5" type="noConversion"/>
  </si>
  <si>
    <t>BSC DC Charge Power Limit</t>
  </si>
  <si>
    <t>b0 ~ b31: Available Charge Instantaneous Power</t>
    <phoneticPr fontId="5" type="noConversion"/>
  </si>
  <si>
    <t>kW</t>
    <phoneticPr fontId="5" type="noConversion"/>
  </si>
  <si>
    <t>The maximum power allowed to charge the battery section
e.g.) 0x0001 1BC1 → 72641 * 0.001 = 72.641kW</t>
  </si>
  <si>
    <t>* The charge power must be kept below the charge power limit within 5seconds.
Otherwise, the charge power limit waring or fault will occur following the diagnostic standard.</t>
    <phoneticPr fontId="5" type="noConversion"/>
  </si>
  <si>
    <t>BSC DC Discharge Power Limit</t>
  </si>
  <si>
    <t>b0 ~ b31: Available Discharge Instantaneous Power</t>
    <phoneticPr fontId="5" type="noConversion"/>
  </si>
  <si>
    <t>The maximum power allowed to discharge the battery section
e.g.) 0x0001 1BC1 → 72641 * 0.001 = 72.641kW</t>
  </si>
  <si>
    <t>* The discharge power must be kept below the discharge power limit within 5seconds.
Otherwise, the discharge power limit waring or fault will occur following the diagnostic standard.</t>
    <phoneticPr fontId="5" type="noConversion"/>
  </si>
  <si>
    <t>The items below are statistical data summarizing information for all racks. If you would like to read more detailed rack information, please refer to the B2C (Rack Data) sheet.</t>
  </si>
  <si>
    <t>Max SOC (among online racks)</t>
    <phoneticPr fontId="5" type="noConversion"/>
  </si>
  <si>
    <t>b0 ~ b15: Max SOC</t>
  </si>
  <si>
    <t>The highest SOC (among online racks)
e.g.) 0x20DA → 8410 * 0.01 = 84.10%</t>
  </si>
  <si>
    <t>Average SOC (among online racks)</t>
    <phoneticPr fontId="5" type="noConversion"/>
  </si>
  <si>
    <t>b0 ~ b15: Average SOC</t>
  </si>
  <si>
    <t>The average  (among online racks)
e.g.) 0x20DA → 8410 * 0.01 = 84.10%</t>
  </si>
  <si>
    <t>Min SOC (among online racks)</t>
    <phoneticPr fontId="5" type="noConversion"/>
  </si>
  <si>
    <t>b0 ~ b15: Min SOC</t>
  </si>
  <si>
    <t>The lowest  (among online racks)
e.g.) 0x20DA → 8410 * 0.01 = 84.10%</t>
  </si>
  <si>
    <t>Rack Location of Max SOC (among online racks)</t>
    <phoneticPr fontId="5" type="noConversion"/>
  </si>
  <si>
    <t>b0 ~ b15: Rack ID</t>
  </si>
  <si>
    <t>The rack location that has the highest SOC (among online racks)</t>
  </si>
  <si>
    <t>Reserved</t>
  </si>
  <si>
    <t>Rack Location of Min SOC (among online racks)</t>
    <phoneticPr fontId="5" type="noConversion"/>
  </si>
  <si>
    <t>b0 ~ b15: Rack ID</t>
    <phoneticPr fontId="5" type="noConversion"/>
  </si>
  <si>
    <t>The rack location that has the lowest SOC (among online racks)</t>
  </si>
  <si>
    <t>No. of recalibration racks</t>
    <phoneticPr fontId="5" type="noConversion"/>
  </si>
  <si>
    <t>b0 ~ b15: Number of recalibration racks</t>
    <phoneticPr fontId="5" type="noConversion"/>
  </si>
  <si>
    <t>The number of online rack that require recalibration.</t>
    <phoneticPr fontId="5" type="noConversion"/>
  </si>
  <si>
    <t>Max SOH (among online racks)</t>
    <phoneticPr fontId="5" type="noConversion"/>
  </si>
  <si>
    <t>b0 ~ b15: Max SOH</t>
  </si>
  <si>
    <t>The highest  (among online racks)
e.g.) 0x20DA → 8410 * 0.01 = 84.10%</t>
  </si>
  <si>
    <t>Average SOH (among online racks)</t>
  </si>
  <si>
    <t>b0 ~ b15: Average SOH</t>
  </si>
  <si>
    <t>Min SOH (among online racks)</t>
  </si>
  <si>
    <t>b0 ~ b15: Min SOH</t>
  </si>
  <si>
    <t>Rack Location of Max SOH (among online racks)</t>
  </si>
  <si>
    <t>The rack location that has the highest SOH in a rack (among online racks)</t>
  </si>
  <si>
    <t>Rack Location of Min SOH (among online racks)</t>
  </si>
  <si>
    <t>The rack location that has the lowest SOH in a rack (among online racks)</t>
  </si>
  <si>
    <t>Max Cell Sum Voltage (among online racks)</t>
    <phoneticPr fontId="5" type="noConversion"/>
  </si>
  <si>
    <t>b0 ~ b31: Max Cell Sum Voltage</t>
    <phoneticPr fontId="5" type="noConversion"/>
  </si>
  <si>
    <t>The highest cell sum voltage (among online racks)
e.g.) 0x0072 C14D → 752058 * 0.0001 = 752.0589V</t>
  </si>
  <si>
    <t>Average Cell Sum Voltage (among online racks)</t>
    <phoneticPr fontId="5" type="noConversion"/>
  </si>
  <si>
    <t>b0 ~ b31: Average Cell Sum Voltage</t>
    <phoneticPr fontId="5" type="noConversion"/>
  </si>
  <si>
    <t>The average cell sum voltage (among online racks)
e.g.) 0x0072 C14D → 752058 * 0.0001 = 752.0589V</t>
  </si>
  <si>
    <t>Min Cell Sum Voltage (among online racks)</t>
    <phoneticPr fontId="5" type="noConversion"/>
  </si>
  <si>
    <t>b0 ~ b31: Min Cell Sum Voltage</t>
    <phoneticPr fontId="5" type="noConversion"/>
  </si>
  <si>
    <t>The lowest cell sum voltage (among online racks)
e.g.) 0x0072 C14D → 752058 * 0.0001 = 752.0589V</t>
  </si>
  <si>
    <t>Rack Location of Max Cell Sum Voltage (among online racks)</t>
    <phoneticPr fontId="5" type="noConversion"/>
  </si>
  <si>
    <t>The rack location that has the highest cell sum voltage (among online racks)</t>
    <phoneticPr fontId="5" type="noConversion"/>
  </si>
  <si>
    <t>Rack Location of Min Cell Sum Voltage (among online racks)</t>
    <phoneticPr fontId="5" type="noConversion"/>
  </si>
  <si>
    <t>The rack location that has the lowest cell sum voltage (among online racks)</t>
    <phoneticPr fontId="5" type="noConversion"/>
  </si>
  <si>
    <t>Max Current (among online racks)</t>
    <phoneticPr fontId="5" type="noConversion"/>
  </si>
  <si>
    <t>b0 ~ b31: Max Current</t>
    <phoneticPr fontId="5" type="noConversion"/>
  </si>
  <si>
    <r>
      <t xml:space="preserve">The highest current (among online racks)
e.g.) 0x0001 32A1 </t>
    </r>
    <r>
      <rPr>
        <sz val="10"/>
        <rFont val="돋움"/>
        <family val="3"/>
        <charset val="129"/>
      </rPr>
      <t>→</t>
    </r>
    <r>
      <rPr>
        <sz val="10"/>
        <rFont val="Arial"/>
        <family val="2"/>
      </rPr>
      <t xml:space="preserve"> 78497 * 0.001 = 78.497A, 0xFFFE CD5F </t>
    </r>
    <r>
      <rPr>
        <sz val="10"/>
        <rFont val="돋움"/>
        <family val="3"/>
        <charset val="129"/>
      </rPr>
      <t>→</t>
    </r>
    <r>
      <rPr>
        <sz val="10"/>
        <rFont val="Arial"/>
        <family val="2"/>
      </rPr>
      <t xml:space="preserve"> -78497 * 0.001 = -78.497A</t>
    </r>
    <phoneticPr fontId="5" type="noConversion"/>
  </si>
  <si>
    <t>Average Current (among online racks)</t>
  </si>
  <si>
    <t>b0 ~ b31: Average Current</t>
    <phoneticPr fontId="5" type="noConversion"/>
  </si>
  <si>
    <r>
      <t xml:space="preserve">The average current (among online racks)
e.g.) 0x0001 32A1 </t>
    </r>
    <r>
      <rPr>
        <sz val="10"/>
        <rFont val="돋움"/>
        <family val="3"/>
        <charset val="129"/>
      </rPr>
      <t>→</t>
    </r>
    <r>
      <rPr>
        <sz val="10"/>
        <rFont val="Arial"/>
        <family val="2"/>
      </rPr>
      <t xml:space="preserve"> 78497 * 0.001 = 78.497A, 0xFFFE CD5F </t>
    </r>
    <r>
      <rPr>
        <sz val="10"/>
        <rFont val="돋움"/>
        <family val="3"/>
        <charset val="129"/>
      </rPr>
      <t>→</t>
    </r>
    <r>
      <rPr>
        <sz val="10"/>
        <rFont val="Arial"/>
        <family val="2"/>
      </rPr>
      <t xml:space="preserve"> -78497 * 0.001 = -78.497A</t>
    </r>
    <phoneticPr fontId="5" type="noConversion"/>
  </si>
  <si>
    <t>Min Current (among online racks)</t>
  </si>
  <si>
    <t>b0 ~ b31: Min Current</t>
    <phoneticPr fontId="5" type="noConversion"/>
  </si>
  <si>
    <r>
      <t xml:space="preserve">The lowest current (among online racks)
e.g.) 0x0001 32A1 </t>
    </r>
    <r>
      <rPr>
        <sz val="10"/>
        <rFont val="돋움"/>
        <family val="3"/>
        <charset val="129"/>
      </rPr>
      <t>→</t>
    </r>
    <r>
      <rPr>
        <sz val="10"/>
        <rFont val="Arial"/>
        <family val="2"/>
      </rPr>
      <t xml:space="preserve"> 78497 * 0.001 = 78.497A, 0xFFFE CD5F </t>
    </r>
    <r>
      <rPr>
        <sz val="10"/>
        <rFont val="돋움"/>
        <family val="3"/>
        <charset val="129"/>
      </rPr>
      <t>→</t>
    </r>
    <r>
      <rPr>
        <sz val="10"/>
        <rFont val="Arial"/>
        <family val="2"/>
      </rPr>
      <t xml:space="preserve"> -78497 * 0.001 = -78.497A</t>
    </r>
    <phoneticPr fontId="5" type="noConversion"/>
  </si>
  <si>
    <t>Rack Location of Max Current (among online racks)</t>
  </si>
  <si>
    <t>The rack location that has the highest current (among online racks)</t>
    <phoneticPr fontId="5" type="noConversion"/>
  </si>
  <si>
    <t>Rack Location of Min Current (among online racks)</t>
    <phoneticPr fontId="5" type="noConversion"/>
  </si>
  <si>
    <t>The rack location that has the lowest current (among online racks)</t>
    <phoneticPr fontId="5" type="noConversion"/>
  </si>
  <si>
    <t>Max Cell Voltage (among online racks)</t>
    <phoneticPr fontId="5" type="noConversion"/>
  </si>
  <si>
    <t>b0 ~ b15: Max Cell Voltage</t>
    <phoneticPr fontId="5" type="noConversion"/>
  </si>
  <si>
    <t>The highest cell voltage (among online racks)
e.g.) 0xE43 → 3651 * 0.001 = 3.651V</t>
  </si>
  <si>
    <t>Average Cell Voltage (among online racks)</t>
    <phoneticPr fontId="5" type="noConversion"/>
  </si>
  <si>
    <t>b0 ~ b15: Average Cell Voltage</t>
    <phoneticPr fontId="5" type="noConversion"/>
  </si>
  <si>
    <t>The average cell voltage (among online racks)
e.g.) 0xE43 → 3651 * 0.001 = 3.651V</t>
  </si>
  <si>
    <t>Min Cell Voltage (among online racks)</t>
    <phoneticPr fontId="5" type="noConversion"/>
  </si>
  <si>
    <t>b0 ~ b15: Min Cell Voltage</t>
    <phoneticPr fontId="5" type="noConversion"/>
  </si>
  <si>
    <t>The lowest cell voltage (among online racks)
e.g.) 0xE43 → 3651 * 0.001 = 3.651V</t>
  </si>
  <si>
    <t>Rack Location of Max Cell Voltage (among online racks)</t>
    <phoneticPr fontId="5" type="noConversion"/>
  </si>
  <si>
    <t>b0 ~ b15 Rack ID</t>
  </si>
  <si>
    <t>The rack location that has the highest cell voltage (among online racks)</t>
    <phoneticPr fontId="5" type="noConversion"/>
  </si>
  <si>
    <t>Pack Location of Max Cell Voltage (among online racks)</t>
  </si>
  <si>
    <t>b0 ~ b15 Pack ID</t>
  </si>
  <si>
    <t>The pack location that has the highest cell voltage in a rack (among online racks)</t>
  </si>
  <si>
    <t>Cell Location of Max Cell Voltage (among online racks)</t>
    <phoneticPr fontId="5" type="noConversion"/>
  </si>
  <si>
    <t>b0 ~ b15: Cell ID</t>
  </si>
  <si>
    <t>The cell location that has the highest cell voltage in a pack (among online racks)</t>
  </si>
  <si>
    <t>Rack Location of Min Cell Voltage (among online racks)</t>
    <phoneticPr fontId="5" type="noConversion"/>
  </si>
  <si>
    <t>The rack location that has the lowest cell voltage (among online racks)</t>
    <phoneticPr fontId="5" type="noConversion"/>
  </si>
  <si>
    <t>Pack Location of Min Cell Voltage (among online racks)</t>
  </si>
  <si>
    <t>The pack location that has the lowest cell voltage (among online racks)</t>
  </si>
  <si>
    <t>Cell Location of Min Cell Voltage (among online racks)</t>
    <phoneticPr fontId="5" type="noConversion"/>
  </si>
  <si>
    <t>The cell location that has the lowest cell voltage in a pack (among online racks)</t>
  </si>
  <si>
    <t>sint16</t>
    <phoneticPr fontId="5" type="noConversion"/>
  </si>
  <si>
    <t>Max Pack Temperature (among online racks)</t>
  </si>
  <si>
    <t xml:space="preserve">b0 ~ b15: BSC Max Pack Temperature  </t>
  </si>
  <si>
    <t>℃</t>
    <phoneticPr fontId="5" type="noConversion"/>
  </si>
  <si>
    <t>The highest pack temperature (among online racks)
e.g.) 0xAE → 175 * 0.1 = 17.5℃</t>
  </si>
  <si>
    <t>Average Pack Temperature (among online racks)</t>
  </si>
  <si>
    <t xml:space="preserve">b0 ~ b15: BSC Average Pack Temperature  </t>
  </si>
  <si>
    <t>The average pack temperature (among online racks)
e.g.) 0xAE → 175 * 0.1 = 17.5℃</t>
  </si>
  <si>
    <t>Min Pack Temperature (among online racks)</t>
  </si>
  <si>
    <t>b0 ~ b15: BSC Min Pack Temperature</t>
  </si>
  <si>
    <t>The lowest pack temperature (among online racks)
e.g.) 0xAE → 175 * 0.1 = 17.5℃</t>
  </si>
  <si>
    <t>Rack Location  of Max Pack Temperature (among online racks)</t>
  </si>
  <si>
    <t>The rack location that has the highest pack temperature (among online racks)</t>
  </si>
  <si>
    <t>Pack Location  of Max Pack Temperature (among online racks)</t>
  </si>
  <si>
    <t>b0 ~ b15: Pack ID</t>
    <phoneticPr fontId="5" type="noConversion"/>
  </si>
  <si>
    <t>The pack location that has the highest pack temperature (among online racks)</t>
  </si>
  <si>
    <t>Sensor Location  of Max Pack Temperature (among online racks)</t>
  </si>
  <si>
    <t>b0 ~ b15: Sensor ID</t>
  </si>
  <si>
    <t>The sensor location that has the highest pack temperature (among online racks)</t>
  </si>
  <si>
    <t>Rack Location  of Min Pack Temperature (among online racks)</t>
  </si>
  <si>
    <t>The rack location that has the lowest pack temperature (among online racks)</t>
  </si>
  <si>
    <t>Pack Location  of Min Pack Temperature (among online racks)</t>
  </si>
  <si>
    <t>The pack location that has the lowest pack temperature (among online racks)</t>
  </si>
  <si>
    <t>Sensor Location  of Min Pack Temperature (among online racks)</t>
  </si>
  <si>
    <t>The sensor location that has the lowest pack temperature (among online racks)</t>
  </si>
  <si>
    <t>Discrete Inputs(Modbus-TCP) Slave ID 1</t>
    <phoneticPr fontId="5" type="noConversion"/>
  </si>
  <si>
    <t>The Controller must use the function code 2(0x02) to read the data.</t>
    <phoneticPr fontId="5" type="noConversion"/>
  </si>
  <si>
    <t>BSC Rack Flag Data</t>
    <phoneticPr fontId="5" type="noConversion"/>
  </si>
  <si>
    <t>Updated every 1 second, Read every 1 second.</t>
    <phoneticPr fontId="5" type="noConversion"/>
  </si>
  <si>
    <t>Rack Flag</t>
    <phoneticPr fontId="5" type="noConversion"/>
  </si>
  <si>
    <t>Rack#1 Disabled Flag Data</t>
    <phoneticPr fontId="5" type="noConversion"/>
  </si>
  <si>
    <t>0: Enabled rack, 1: Disabled rack</t>
  </si>
  <si>
    <t>N Depend on Total Rack Count(Refer. B2C(BSC Data) addr. 30005)</t>
    <phoneticPr fontId="5" type="noConversion"/>
  </si>
  <si>
    <t>…</t>
    <phoneticPr fontId="5" type="noConversion"/>
  </si>
  <si>
    <t>Rack#N Disabled Flag Data</t>
    <phoneticPr fontId="5" type="noConversion"/>
  </si>
  <si>
    <t>N+1</t>
    <phoneticPr fontId="5" type="noConversion"/>
  </si>
  <si>
    <t>Rack#1 Online Flag Data</t>
    <phoneticPr fontId="5" type="noConversion"/>
  </si>
  <si>
    <t>0: Offline rack, 1: Online rack</t>
  </si>
  <si>
    <t>Rack#N Online Flag Data</t>
    <phoneticPr fontId="5" type="noConversion"/>
  </si>
  <si>
    <t>2N+1</t>
    <phoneticPr fontId="5" type="noConversion"/>
  </si>
  <si>
    <t>Rack#1 Alarm Flag Data</t>
    <phoneticPr fontId="5" type="noConversion"/>
  </si>
  <si>
    <t>0: Normal rack, 1: Alarm occurred rack</t>
  </si>
  <si>
    <t>Rack#N Alarm Flag Data</t>
    <phoneticPr fontId="5" type="noConversion"/>
  </si>
  <si>
    <t>3N+1</t>
    <phoneticPr fontId="5" type="noConversion"/>
  </si>
  <si>
    <t>Rack#1 Warning Flag Data</t>
    <phoneticPr fontId="5" type="noConversion"/>
  </si>
  <si>
    <t>0: Normal rack, 1: Warning occurred rack</t>
  </si>
  <si>
    <t>Rack#N Warning Flag Data</t>
    <phoneticPr fontId="5" type="noConversion"/>
  </si>
  <si>
    <t>4N+1</t>
    <phoneticPr fontId="5" type="noConversion"/>
  </si>
  <si>
    <t>Rack#1 Fault Flag Data</t>
    <phoneticPr fontId="5" type="noConversion"/>
  </si>
  <si>
    <t>0: Normal rack, 1: Fault occurred rack</t>
  </si>
  <si>
    <t>Rack#N Fault Flag Data</t>
    <phoneticPr fontId="5" type="noConversion"/>
  </si>
  <si>
    <t>5N+1</t>
    <phoneticPr fontId="5" type="noConversion"/>
  </si>
  <si>
    <t>Rack#1 Non-Balancing Entry Period</t>
    <phoneticPr fontId="5" type="noConversion"/>
  </si>
  <si>
    <t>0: Normal rack, 1: Non-Balancing Entry Period occrured</t>
    <phoneticPr fontId="5" type="noConversion"/>
  </si>
  <si>
    <t>Rack#N Non-Balancing Entry Period</t>
    <phoneticPr fontId="5" type="noConversion"/>
  </si>
  <si>
    <t>Holding Registers(Modbus-TCP) Slave ID 1</t>
    <phoneticPr fontId="5" type="noConversion"/>
  </si>
  <si>
    <t>The Controller can use the function code 3(0x03) to read data and 6(0x06) or 16(0x10) to write the data.</t>
    <phoneticPr fontId="5" type="noConversion"/>
  </si>
  <si>
    <t>* Click ‘Controller information’ on the BSC home screen to see the data that the controller is writing.</t>
    <phoneticPr fontId="5" type="noConversion"/>
  </si>
  <si>
    <t>* 40000~40009 need to be updated every 1 second, 40010 should be updated if needed.</t>
    <phoneticPr fontId="5" type="noConversion"/>
  </si>
  <si>
    <t>* BSC data check period : When the controller sends the data. (immediately)</t>
    <phoneticPr fontId="5" type="noConversion"/>
  </si>
  <si>
    <t>MODBUS
Address</t>
  </si>
  <si>
    <t>Type</t>
  </si>
  <si>
    <t>Name</t>
  </si>
  <si>
    <t>Unit</t>
  </si>
  <si>
    <t>Controller
Data</t>
    <phoneticPr fontId="5" type="noConversion"/>
  </si>
  <si>
    <t>Controller Heartbeat</t>
    <phoneticPr fontId="5" type="noConversion"/>
  </si>
  <si>
    <t>0~65535</t>
    <phoneticPr fontId="5" type="noConversion"/>
  </si>
  <si>
    <r>
      <rPr>
        <b/>
        <sz val="10"/>
        <color rgb="FF0070C0"/>
        <rFont val="Arial"/>
        <family val="2"/>
      </rPr>
      <t>* It is recommended to cycle from 0(zero) to 255 with an interval of 1second.</t>
    </r>
    <r>
      <rPr>
        <sz val="10"/>
        <rFont val="Arial"/>
        <family val="2"/>
      </rPr>
      <t xml:space="preserve">
* The controller’s communicating status
* If this value doesn’t be changed for a long time, the BSC regards connection with the controller is broken, diagnoses the S-C LOC, and opens every rack’s contactor or disconnect switch(or circuit breaker).
* The S-C LOC will be cleared as the controller sends this signal again.
</t>
    </r>
    <r>
      <rPr>
        <b/>
        <sz val="10"/>
        <color rgb="FFFF0000"/>
        <rFont val="Arial"/>
        <family val="2"/>
      </rPr>
      <t>* The controller must diagnose the communication error and stop charging and discharging the battery section.
  The BSC diagnoses it and opens every rack’s contactor or disconnect switch. (or circuit breaker)</t>
    </r>
    <phoneticPr fontId="5" type="noConversion"/>
  </si>
  <si>
    <t>Command Request</t>
    <phoneticPr fontId="5" type="noConversion"/>
  </si>
  <si>
    <t>Enum</t>
    <phoneticPr fontId="5" type="noConversion"/>
  </si>
  <si>
    <t>0x0001: Emergency</t>
    <phoneticPr fontId="5" type="noConversion"/>
  </si>
  <si>
    <r>
      <t xml:space="preserve">The command to enter Emergency mode, which means all contactors will be opened.
</t>
    </r>
    <r>
      <rPr>
        <sz val="10"/>
        <color rgb="FFFF0000"/>
        <rFont val="Arial"/>
        <family val="2"/>
      </rPr>
      <t xml:space="preserve">* </t>
    </r>
    <r>
      <rPr>
        <b/>
        <sz val="10"/>
        <color rgb="FFFF0000"/>
        <rFont val="Arial"/>
        <family val="2"/>
      </rPr>
      <t>This command has top priority.</t>
    </r>
    <phoneticPr fontId="5" type="noConversion"/>
  </si>
  <si>
    <t>0x0002: Start</t>
    <phoneticPr fontId="5" type="noConversion"/>
  </si>
  <si>
    <r>
      <t xml:space="preserve">The command to start monitoring the battery system.
</t>
    </r>
    <r>
      <rPr>
        <sz val="10"/>
        <color rgb="FF0070C0"/>
        <rFont val="Arial"/>
        <family val="2"/>
      </rPr>
      <t xml:space="preserve">The BSC connects with racks and starts monitoring the battery section. But it doesn’t act in the following situations with the ack. (Request Acknowledge 30030 : 0x5 ~ )
</t>
    </r>
    <r>
      <rPr>
        <sz val="10"/>
        <rFont val="Arial"/>
        <family val="2"/>
      </rPr>
      <t xml:space="preserve">* If there are any racks whose state has not been changed to "Normal", the initialization will be failed due to </t>
    </r>
    <r>
      <rPr>
        <u/>
        <sz val="10"/>
        <rFont val="Arial"/>
        <family val="2"/>
      </rPr>
      <t>30</t>
    </r>
    <r>
      <rPr>
        <sz val="10"/>
        <rFont val="Arial"/>
        <family val="2"/>
      </rPr>
      <t xml:space="preserve"> seconds timeout.
* If there are any racks that you want to exclude from control, it needs disabled rack selected.(40020~40028)</t>
    </r>
    <phoneticPr fontId="5" type="noConversion"/>
  </si>
  <si>
    <t>0x0003: Stop</t>
    <phoneticPr fontId="5" type="noConversion"/>
  </si>
  <si>
    <r>
      <t xml:space="preserve">The command to stop monitoring the battery system.
</t>
    </r>
    <r>
      <rPr>
        <sz val="10"/>
        <color rgb="FF0070C0"/>
        <rFont val="Arial"/>
        <family val="2"/>
      </rPr>
      <t>The BSC is disconnected from racks and stops monitoring the battery section. But it doesn’t act in the following situations with the ack. (Request Acknowledge 30030 : 0x5 ~ )</t>
    </r>
    <phoneticPr fontId="5" type="noConversion"/>
  </si>
  <si>
    <t>0x0004: Open All Contactors</t>
    <phoneticPr fontId="5" type="noConversion"/>
  </si>
  <si>
    <r>
      <t xml:space="preserve">The command to open rack’s contactor (normally all racks' contactors )
</t>
    </r>
    <r>
      <rPr>
        <sz val="10"/>
        <color rgb="FF0070C0"/>
        <rFont val="Arial"/>
        <family val="2"/>
      </rPr>
      <t>The BSC opens every rack’s contactor. But it doesn’t do in the following situations with the ack. (Request Acknowledge 30030 : 0x5 ~ )</t>
    </r>
    <r>
      <rPr>
        <sz val="10"/>
        <rFont val="돋움"/>
        <family val="3"/>
        <charset val="129"/>
      </rPr>
      <t/>
    </r>
    <phoneticPr fontId="5" type="noConversion"/>
  </si>
  <si>
    <t>0x0005: Close Contactors</t>
    <phoneticPr fontId="5" type="noConversion"/>
  </si>
  <si>
    <r>
      <t xml:space="preserve">The command to close rack’s contactor (normally all racks' contactors but not in manual mode)
</t>
    </r>
    <r>
      <rPr>
        <sz val="10"/>
        <color rgb="FF0070C0"/>
        <rFont val="Arial"/>
        <family val="2"/>
      </rPr>
      <t xml:space="preserve">The BSC closes every rack’s contactor.But it doesn’t act in the following situations with the ack. (Request Acknowledge 30030 : 0x5 ~ )
</t>
    </r>
    <r>
      <rPr>
        <sz val="10"/>
        <rFont val="Arial"/>
        <family val="2"/>
      </rPr>
      <t>* The timeout for the completion is defined as {</t>
    </r>
    <r>
      <rPr>
        <u/>
        <sz val="10"/>
        <rFont val="Arial"/>
        <family val="2"/>
      </rPr>
      <t>number of target racks * 400 + 5000}</t>
    </r>
    <r>
      <rPr>
        <sz val="10"/>
        <rFont val="Arial"/>
        <family val="2"/>
      </rPr>
      <t xml:space="preserve"> (ms)
* In manual mode, it needs selected rack no.(40011~40017)</t>
    </r>
    <r>
      <rPr>
        <sz val="10"/>
        <rFont val="돋움"/>
        <family val="3"/>
        <charset val="129"/>
      </rPr>
      <t/>
    </r>
    <phoneticPr fontId="5" type="noConversion"/>
  </si>
  <si>
    <t>0x0006: Enter Manual Mode</t>
    <phoneticPr fontId="5" type="noConversion"/>
  </si>
  <si>
    <r>
      <t xml:space="preserve">The command to enter manual mode
</t>
    </r>
    <r>
      <rPr>
        <sz val="10"/>
        <color rgb="FF0070C0"/>
        <rFont val="Arial"/>
        <family val="2"/>
      </rPr>
      <t>The BSC enters the manual mode with opening every rack’s contactor. But it doesn’t act in the following situations with the ack. (Request Acknowledge 30030 : 0x5 ~ )</t>
    </r>
    <r>
      <rPr>
        <sz val="10"/>
        <rFont val="Arial"/>
        <family val="2"/>
      </rPr>
      <t xml:space="preserve">
* In the manual mode, some diagnoses may not occur. Refer to the diagnostic document.</t>
    </r>
    <phoneticPr fontId="5" type="noConversion"/>
  </si>
  <si>
    <t>0x0007: Exit Manual Mode</t>
    <phoneticPr fontId="5" type="noConversion"/>
  </si>
  <si>
    <r>
      <t xml:space="preserve">The command to exit manual mode
</t>
    </r>
    <r>
      <rPr>
        <sz val="10"/>
        <color rgb="FF0070C0"/>
        <rFont val="Arial"/>
        <family val="2"/>
      </rPr>
      <t>The BSC exits the manual mode and returns to the normal mode with opening every rack’s contactor. But it doesn’t act in the following situations with the ack.
(Request Acknowledge 30030 : 0x5 ~ )</t>
    </r>
    <phoneticPr fontId="5" type="noConversion"/>
  </si>
  <si>
    <t xml:space="preserve">0x0008: </t>
    <phoneticPr fontId="5" type="noConversion"/>
  </si>
  <si>
    <t>0x0009: Event Clear</t>
    <phoneticPr fontId="5" type="noConversion"/>
  </si>
  <si>
    <r>
      <t xml:space="preserve">The command to clear all diagnoses
* Repeated requests are not allowed within </t>
    </r>
    <r>
      <rPr>
        <u/>
        <sz val="10"/>
        <rFont val="Arial"/>
        <family val="2"/>
      </rPr>
      <t>30</t>
    </r>
    <r>
      <rPr>
        <sz val="10"/>
        <rFont val="Arial"/>
        <family val="2"/>
      </rPr>
      <t xml:space="preserve"> seconds(Cooldown Time)</t>
    </r>
    <phoneticPr fontId="5" type="noConversion"/>
  </si>
  <si>
    <t>0x000A: Reset</t>
    <phoneticPr fontId="5" type="noConversion"/>
  </si>
  <si>
    <t>When the reset command is executed, it clears all faults and reboots the RBMS and BSC software.
*  the main diagnosis, CER(Critical Error Record), requires verification with an LG Engineer and therefore is not cleared.
CER : PDVF(Pack Deviation Voltage Fault), RDVF(Rack Deviation Voltage Fault)</t>
    <phoneticPr fontId="3" type="noConversion"/>
  </si>
  <si>
    <t>0x000B: removed</t>
    <phoneticPr fontId="5" type="noConversion"/>
  </si>
  <si>
    <t>~ Reserved</t>
    <phoneticPr fontId="5" type="noConversion"/>
  </si>
  <si>
    <t>* The usage of common argument area for each command</t>
    <phoneticPr fontId="5" type="noConversion"/>
  </si>
  <si>
    <t>0x0005
Close Contactors
(in Manual Mode)</t>
    <phoneticPr fontId="5" type="noConversion"/>
  </si>
  <si>
    <t>Selected Rack Flags in Manual Mode</t>
    <phoneticPr fontId="5" type="noConversion"/>
  </si>
  <si>
    <t>b0 ~ b15 Rack Location (1~16)</t>
    <phoneticPr fontId="5" type="noConversion"/>
  </si>
  <si>
    <t>b0: Rack#1, b1: Rack#2, … b15: Rack#16</t>
    <phoneticPr fontId="5" type="noConversion"/>
  </si>
  <si>
    <t>bit flags</t>
    <phoneticPr fontId="5" type="noConversion"/>
  </si>
  <si>
    <t>b0 ~ b15 Rack Location (17~32)</t>
    <phoneticPr fontId="5" type="noConversion"/>
  </si>
  <si>
    <t>b0: Rack#17, b1: Rack#18, … b15: Rack#32</t>
    <phoneticPr fontId="5" type="noConversion"/>
  </si>
  <si>
    <t>b0 ~ b15 Rack Location (33~48)</t>
    <phoneticPr fontId="5" type="noConversion"/>
  </si>
  <si>
    <t>b0: Rack#33, b1: Rack#34, … b15: Rack#48</t>
    <phoneticPr fontId="5" type="noConversion"/>
  </si>
  <si>
    <t>b0 ~ b15 Rack Location (49~64)</t>
    <phoneticPr fontId="5" type="noConversion"/>
  </si>
  <si>
    <t>b0: Rack#49, b1: Rack#50, … b15: Rack#64</t>
    <phoneticPr fontId="5" type="noConversion"/>
  </si>
  <si>
    <t>b0 ~ b15 Rack Location (65~80)</t>
    <phoneticPr fontId="5" type="noConversion"/>
  </si>
  <si>
    <t>b0: Rack#65, b1: Rack#65, … b15: Rack#80</t>
    <phoneticPr fontId="5" type="noConversion"/>
  </si>
  <si>
    <t>b0 ~ b15 Rack Location (81~96)</t>
    <phoneticPr fontId="5" type="noConversion"/>
  </si>
  <si>
    <t>b0: Rack#81, b1: Rack#81, … b15: Rack#96</t>
    <phoneticPr fontId="5" type="noConversion"/>
  </si>
  <si>
    <t>b0 ~ b15 Rack Location (97~99)</t>
    <phoneticPr fontId="5" type="noConversion"/>
  </si>
  <si>
    <t>b0: Rack#97, b1: Rack#97, … b3: Rack#99, other bits are reserved</t>
    <phoneticPr fontId="5" type="noConversion"/>
  </si>
  <si>
    <t>0x0002
Start</t>
    <phoneticPr fontId="5" type="noConversion"/>
  </si>
  <si>
    <t>Rack Flags to be disabled</t>
    <phoneticPr fontId="5" type="noConversion"/>
  </si>
  <si>
    <r>
      <rPr>
        <b/>
        <sz val="10"/>
        <color rgb="FF0070C0"/>
        <rFont val="Arial"/>
        <family val="2"/>
      </rPr>
      <t>Disabled Rack Flags : excluded from control.</t>
    </r>
    <r>
      <rPr>
        <sz val="10"/>
        <rFont val="Arial"/>
        <family val="2"/>
      </rPr>
      <t xml:space="preserve">
b0: Rack#1, b1: Rack#2, … b15: Rack#16</t>
    </r>
    <r>
      <rPr>
        <b/>
        <sz val="10"/>
        <color rgb="FFFF0000"/>
        <rFont val="돋움"/>
        <family val="3"/>
        <charset val="129"/>
      </rPr>
      <t/>
    </r>
    <phoneticPr fontId="5" type="noConversion"/>
  </si>
  <si>
    <t>b0: Rack#49, b1: Rack#50, … b15: Rack#64</t>
  </si>
  <si>
    <t>b0: Rack#65, b1: Rack#66, … b15: Rack#80</t>
    <phoneticPr fontId="5" type="noConversion"/>
  </si>
  <si>
    <r>
      <rPr>
        <b/>
        <sz val="10"/>
        <color rgb="FFFF0000"/>
        <rFont val="돋움"/>
        <family val="3"/>
        <charset val="129"/>
      </rPr>
      <t>＊</t>
    </r>
    <r>
      <rPr>
        <b/>
        <sz val="10"/>
        <color rgb="FFFF0000"/>
        <rFont val="Arial"/>
        <family val="2"/>
      </rPr>
      <t>These flags will be checked and applied only when BSC initializing. Please make sure to set the flags before the Start command.</t>
    </r>
    <phoneticPr fontId="5" type="noConversion"/>
  </si>
  <si>
    <t>Accepted Example</t>
    <phoneticPr fontId="5" type="noConversion"/>
  </si>
  <si>
    <t>Not Accecpted Example</t>
    <phoneticPr fontId="5" type="noConversion"/>
  </si>
  <si>
    <t>Emergency</t>
    <phoneticPr fontId="5" type="noConversion"/>
  </si>
  <si>
    <t>BSC</t>
    <phoneticPr fontId="5" type="noConversion"/>
  </si>
  <si>
    <t>Address</t>
    <phoneticPr fontId="5" type="noConversion"/>
  </si>
  <si>
    <t>value</t>
    <phoneticPr fontId="5" type="noConversion"/>
  </si>
  <si>
    <t>Command Request: Emergency</t>
  </si>
  <si>
    <t>0x0001</t>
    <phoneticPr fontId="5" type="noConversion"/>
  </si>
  <si>
    <t>Request Acknowledge: In Progress</t>
    <phoneticPr fontId="5" type="noConversion"/>
  </si>
  <si>
    <t>Request Acknowledge: BMS Not Connected</t>
    <phoneticPr fontId="5" type="noConversion"/>
  </si>
  <si>
    <t>0x0005</t>
    <phoneticPr fontId="5" type="noConversion"/>
  </si>
  <si>
    <t>Last Accepted Reqeust: Emergency</t>
    <phoneticPr fontId="5" type="noConversion"/>
  </si>
  <si>
    <t xml:space="preserve">                                         (Other values can be set)</t>
    <phoneticPr fontId="5" type="noConversion"/>
  </si>
  <si>
    <t>Command Request: None</t>
    <phoneticPr fontId="5" type="noConversion"/>
  </si>
  <si>
    <t>0x0000</t>
    <phoneticPr fontId="5" type="noConversion"/>
  </si>
  <si>
    <t>BSC State: Emergency</t>
  </si>
  <si>
    <t>0x0006</t>
    <phoneticPr fontId="5" type="noConversion"/>
  </si>
  <si>
    <t>Request Acknowledge: Done</t>
  </si>
  <si>
    <t>0x0002</t>
    <phoneticPr fontId="5" type="noConversion"/>
  </si>
  <si>
    <t>Request Acknowledge: None</t>
  </si>
  <si>
    <t>Command Request: Start</t>
    <phoneticPr fontId="5" type="noConversion"/>
  </si>
  <si>
    <t>Request Acknowledge: BMS Already Connected</t>
    <phoneticPr fontId="5" type="noConversion"/>
  </si>
  <si>
    <t>Last Accepted Reqeust: Start</t>
    <phoneticPr fontId="5" type="noConversion"/>
  </si>
  <si>
    <t>BSC State: Initializing</t>
    <phoneticPr fontId="5" type="noConversion"/>
  </si>
  <si>
    <t>Stop</t>
    <phoneticPr fontId="5" type="noConversion"/>
  </si>
  <si>
    <t>Command Request: Stop</t>
    <phoneticPr fontId="5" type="noConversion"/>
  </si>
  <si>
    <t>0x0003</t>
    <phoneticPr fontId="5" type="noConversion"/>
  </si>
  <si>
    <t>Request Acknowledge: Current Flows</t>
    <phoneticPr fontId="5" type="noConversion"/>
  </si>
  <si>
    <t>0x000A</t>
    <phoneticPr fontId="5" type="noConversion"/>
  </si>
  <si>
    <t>Last Accepted Reqeust: Stop</t>
    <phoneticPr fontId="5" type="noConversion"/>
  </si>
  <si>
    <t>BSC State: BMS Not Connected</t>
    <phoneticPr fontId="5" type="noConversion"/>
  </si>
  <si>
    <t>Open Contactors</t>
    <phoneticPr fontId="5" type="noConversion"/>
  </si>
  <si>
    <t>Command Request: Open Contactors</t>
  </si>
  <si>
    <t>0x0004</t>
    <phoneticPr fontId="5" type="noConversion"/>
  </si>
  <si>
    <t>Request Acknowledge: All Contactors Already Opened</t>
    <phoneticPr fontId="5" type="noConversion"/>
  </si>
  <si>
    <t>0x0008</t>
    <phoneticPr fontId="5" type="noConversion"/>
  </si>
  <si>
    <t>Last Accepted Reqeust: Open Contactors</t>
    <phoneticPr fontId="5" type="noConversion"/>
  </si>
  <si>
    <t>No. of online racks: 0</t>
    <phoneticPr fontId="5" type="noConversion"/>
  </si>
  <si>
    <t>BSC SOC</t>
    <phoneticPr fontId="5" type="noConversion"/>
  </si>
  <si>
    <t>BSC SOH</t>
    <phoneticPr fontId="5" type="noConversion"/>
  </si>
  <si>
    <t>Etc</t>
    <phoneticPr fontId="5" type="noConversion"/>
  </si>
  <si>
    <t>~</t>
    <phoneticPr fontId="5" type="noConversion"/>
  </si>
  <si>
    <t>Close Contactors</t>
    <phoneticPr fontId="5" type="noConversion"/>
  </si>
  <si>
    <t>Command Request: Close Contactors</t>
  </si>
  <si>
    <t>Request Acknowledge: Over Voltage Deviation</t>
    <phoneticPr fontId="5" type="noConversion"/>
  </si>
  <si>
    <t>0x0011</t>
    <phoneticPr fontId="5" type="noConversion"/>
  </si>
  <si>
    <t>Last Accepted Reqeust: Close Contactors</t>
    <phoneticPr fontId="5" type="noConversion"/>
  </si>
  <si>
    <t>No. of online racks: &gt; 0</t>
    <phoneticPr fontId="5" type="noConversion"/>
  </si>
  <si>
    <t>&gt; 0</t>
    <phoneticPr fontId="5" type="noConversion"/>
  </si>
  <si>
    <t>Enter Manual</t>
    <phoneticPr fontId="5" type="noConversion"/>
  </si>
  <si>
    <t>Command Request: Enter Manual</t>
  </si>
  <si>
    <t>Last Accepted Reqeust: Enter Manual</t>
    <phoneticPr fontId="5" type="noConversion"/>
  </si>
  <si>
    <t>BSC State: Manual</t>
    <phoneticPr fontId="5" type="noConversion"/>
  </si>
  <si>
    <t>Open Contactor In Manaul Mode</t>
    <phoneticPr fontId="5" type="noConversion"/>
  </si>
  <si>
    <t>Open Contactor In Manual Mode</t>
    <phoneticPr fontId="5" type="noConversion"/>
  </si>
  <si>
    <t>Command Request: Open Contactors</t>
    <phoneticPr fontId="5" type="noConversion"/>
  </si>
  <si>
    <t>Close Contactor In Manual Mode</t>
    <phoneticPr fontId="5" type="noConversion"/>
  </si>
  <si>
    <t>Command Request: Close Contactors</t>
    <phoneticPr fontId="5" type="noConversion"/>
  </si>
  <si>
    <t>Request Acknowledge: Under Contactor control</t>
    <phoneticPr fontId="5" type="noConversion"/>
  </si>
  <si>
    <t>0x0010</t>
    <phoneticPr fontId="5" type="noConversion"/>
  </si>
  <si>
    <t>Selected Rack No in Manual Mode</t>
  </si>
  <si>
    <t>Request Acknowledge: In Progress</t>
  </si>
  <si>
    <t>Exit Manual</t>
    <phoneticPr fontId="5" type="noConversion"/>
  </si>
  <si>
    <t>Command Request: Exit Manual</t>
  </si>
  <si>
    <t>0x0007</t>
    <phoneticPr fontId="5" type="noConversion"/>
  </si>
  <si>
    <t>Last Accepted Reqeust: Exit Manual</t>
    <phoneticPr fontId="5" type="noConversion"/>
  </si>
  <si>
    <t>BSC State: Normal</t>
    <phoneticPr fontId="5" type="noConversion"/>
  </si>
  <si>
    <t>Event Clear</t>
    <phoneticPr fontId="5" type="noConversion"/>
  </si>
  <si>
    <t>Command Request: Event Clear</t>
    <phoneticPr fontId="5" type="noConversion"/>
  </si>
  <si>
    <t>0x0009</t>
    <phoneticPr fontId="5" type="noConversion"/>
  </si>
  <si>
    <t>Request Acknowledge: Within Cooldown Time</t>
    <phoneticPr fontId="5" type="noConversion"/>
  </si>
  <si>
    <t>0x0012</t>
    <phoneticPr fontId="5" type="noConversion"/>
  </si>
  <si>
    <t>Last Accepted Reqeust: Event Clear</t>
    <phoneticPr fontId="5" type="noConversion"/>
  </si>
  <si>
    <t>BSC Information: Warning, Fault Clear</t>
    <phoneticPr fontId="5" type="noConversion"/>
  </si>
  <si>
    <t>Start with Disabled Racks</t>
    <phoneticPr fontId="5" type="noConversion"/>
  </si>
  <si>
    <t>Selected Rack No excluded from control</t>
    <phoneticPr fontId="5" type="noConversion"/>
  </si>
  <si>
    <t>Request Acknowledge: Target Rack Not Exist</t>
    <phoneticPr fontId="5" type="noConversion"/>
  </si>
  <si>
    <t>0x00013</t>
    <phoneticPr fontId="5" type="noConversion"/>
  </si>
  <si>
    <t>Method / State</t>
  </si>
  <si>
    <t>Not Initialized</t>
  </si>
  <si>
    <t>Initializing</t>
  </si>
  <si>
    <t>Normal</t>
  </si>
  <si>
    <t>Normal Power Saving</t>
  </si>
  <si>
    <t>Manual</t>
  </si>
  <si>
    <t>Emergency</t>
  </si>
  <si>
    <r>
      <rPr>
        <sz val="11"/>
        <color theme="1"/>
        <rFont val="Calibri"/>
        <family val="2"/>
        <charset val="129"/>
        <scheme val="minor"/>
      </rPr>
      <t>□</t>
    </r>
    <r>
      <rPr>
        <sz val="11"/>
        <rFont val="Arial"/>
        <family val="2"/>
      </rPr>
      <t xml:space="preserve"> "BMS Not Connected"</t>
    </r>
    <phoneticPr fontId="5" type="noConversion"/>
  </si>
  <si>
    <r>
      <rPr>
        <sz val="11"/>
        <color theme="1"/>
        <rFont val="Calibri"/>
        <family val="2"/>
        <charset val="129"/>
        <scheme val="minor"/>
      </rPr>
      <t>□</t>
    </r>
    <r>
      <rPr>
        <sz val="11"/>
        <rFont val="Arial"/>
        <family val="2"/>
      </rPr>
      <t xml:space="preserve"> "In Progress" : BSC state will turn to Emergency.</t>
    </r>
    <phoneticPr fontId="5" type="noConversion"/>
  </si>
  <si>
    <r>
      <rPr>
        <sz val="11"/>
        <color theme="1"/>
        <rFont val="Calibri"/>
        <family val="2"/>
        <charset val="129"/>
        <scheme val="minor"/>
      </rPr>
      <t>□</t>
    </r>
    <r>
      <rPr>
        <sz val="11"/>
        <rFont val="Arial"/>
        <family val="2"/>
      </rPr>
      <t xml:space="preserve"> "BSC Emergency Mode"</t>
    </r>
    <phoneticPr fontId="5" type="noConversion"/>
  </si>
  <si>
    <t>Start</t>
  </si>
  <si>
    <r>
      <rPr>
        <sz val="11"/>
        <color theme="1"/>
        <rFont val="Calibri"/>
        <family val="2"/>
        <charset val="129"/>
        <scheme val="minor"/>
      </rPr>
      <t>□</t>
    </r>
    <r>
      <rPr>
        <sz val="11"/>
        <rFont val="Arial"/>
        <family val="2"/>
      </rPr>
      <t xml:space="preserve"> "In Progress" : BSC state will turn to Initializing.</t>
    </r>
    <phoneticPr fontId="5" type="noConversion"/>
  </si>
  <si>
    <r>
      <rPr>
        <sz val="11"/>
        <color theme="1"/>
        <rFont val="Calibri"/>
        <family val="2"/>
        <charset val="129"/>
        <scheme val="minor"/>
      </rPr>
      <t>□</t>
    </r>
    <r>
      <rPr>
        <sz val="11"/>
        <rFont val="Arial"/>
        <family val="2"/>
      </rPr>
      <t xml:space="preserve"> N/A : BSC state will turn to Normal or Not Initialized.</t>
    </r>
    <phoneticPr fontId="5" type="noConversion"/>
  </si>
  <si>
    <r>
      <rPr>
        <sz val="11"/>
        <color theme="1"/>
        <rFont val="Calibri"/>
        <family val="2"/>
        <charset val="129"/>
        <scheme val="minor"/>
      </rPr>
      <t>□</t>
    </r>
    <r>
      <rPr>
        <sz val="11"/>
        <rFont val="Arial"/>
        <family val="2"/>
      </rPr>
      <t xml:space="preserve"> "BMS Already Connected"</t>
    </r>
    <phoneticPr fontId="5" type="noConversion"/>
  </si>
  <si>
    <r>
      <rPr>
        <sz val="11"/>
        <color theme="1"/>
        <rFont val="Calibri"/>
        <family val="2"/>
        <charset val="129"/>
        <scheme val="minor"/>
      </rPr>
      <t>□</t>
    </r>
    <r>
      <rPr>
        <sz val="11"/>
        <rFont val="Arial"/>
        <family val="2"/>
      </rPr>
      <t xml:space="preserve"> "Target Rack Not Exist"</t>
    </r>
    <phoneticPr fontId="5" type="noConversion"/>
  </si>
  <si>
    <t>Stop</t>
  </si>
  <si>
    <r>
      <rPr>
        <sz val="11"/>
        <color theme="1"/>
        <rFont val="Calibri"/>
        <family val="2"/>
        <charset val="129"/>
        <scheme val="minor"/>
      </rPr>
      <t>□</t>
    </r>
    <r>
      <rPr>
        <sz val="11"/>
        <rFont val="Arial"/>
        <family val="2"/>
      </rPr>
      <t xml:space="preserve"> "Current Flows" : Charge status is not idle.</t>
    </r>
    <phoneticPr fontId="5" type="noConversion"/>
  </si>
  <si>
    <r>
      <rPr>
        <sz val="11"/>
        <color theme="1"/>
        <rFont val="Calibri"/>
        <family val="2"/>
        <charset val="129"/>
        <scheme val="minor"/>
      </rPr>
      <t>□</t>
    </r>
    <r>
      <rPr>
        <sz val="11"/>
        <rFont val="Arial"/>
        <family val="2"/>
      </rPr>
      <t xml:space="preserve"> "In Progress" : BSC state will turn to Not Initialized.</t>
    </r>
    <phoneticPr fontId="5" type="noConversion"/>
  </si>
  <si>
    <r>
      <rPr>
        <sz val="11"/>
        <color theme="1"/>
        <rFont val="Calibri"/>
        <family val="2"/>
        <charset val="129"/>
        <scheme val="minor"/>
      </rPr>
      <t>□</t>
    </r>
    <r>
      <rPr>
        <sz val="11"/>
        <rFont val="Arial"/>
        <family val="2"/>
      </rPr>
      <t xml:space="preserve"> "Under Contactor Control"</t>
    </r>
    <phoneticPr fontId="5" type="noConversion"/>
  </si>
  <si>
    <r>
      <rPr>
        <sz val="11"/>
        <color theme="1"/>
        <rFont val="Calibri"/>
        <family val="2"/>
        <charset val="129"/>
        <scheme val="minor"/>
      </rPr>
      <t>□</t>
    </r>
    <r>
      <rPr>
        <sz val="11"/>
        <rFont val="Arial"/>
        <family val="2"/>
      </rPr>
      <t xml:space="preserve"> "In Progress" : If all of the above conditions are not met, BSC state will turn to Not Initialized.</t>
    </r>
    <phoneticPr fontId="5" type="noConversion"/>
  </si>
  <si>
    <t>Open All Contactors</t>
  </si>
  <si>
    <r>
      <rPr>
        <sz val="11"/>
        <color theme="1"/>
        <rFont val="Calibri"/>
        <family val="2"/>
        <charset val="129"/>
        <scheme val="minor"/>
      </rPr>
      <t>□</t>
    </r>
    <r>
      <rPr>
        <sz val="11"/>
        <rFont val="Arial"/>
        <family val="2"/>
      </rPr>
      <t xml:space="preserve"> "Contactors Already Opened" : The number of online racks is zero.</t>
    </r>
    <phoneticPr fontId="5" type="noConversion"/>
  </si>
  <si>
    <r>
      <rPr>
        <sz val="11"/>
        <color theme="1"/>
        <rFont val="Calibri"/>
        <family val="2"/>
        <charset val="129"/>
        <scheme val="minor"/>
      </rPr>
      <t>□</t>
    </r>
    <r>
      <rPr>
        <sz val="11"/>
        <rFont val="Arial"/>
        <family val="2"/>
      </rPr>
      <t xml:space="preserve"> "In Progress" : If all of the above conditions are not met, contactors of all racks will be open.</t>
    </r>
    <phoneticPr fontId="5" type="noConversion"/>
  </si>
  <si>
    <t>Close Contactors</t>
  </si>
  <si>
    <t>□ "BSC Warning or Fault" : There is section level warning/fault diagnosis.</t>
    <phoneticPr fontId="5" type="noConversion"/>
  </si>
  <si>
    <r>
      <rPr>
        <sz val="11"/>
        <color theme="1"/>
        <rFont val="Calibri"/>
        <family val="2"/>
        <charset val="129"/>
        <scheme val="minor"/>
      </rPr>
      <t>□</t>
    </r>
    <r>
      <rPr>
        <sz val="11"/>
        <rFont val="Arial"/>
        <family val="2"/>
      </rPr>
      <t xml:space="preserve"> "Already Online" : The number of online racks is more than zero.</t>
    </r>
    <phoneticPr fontId="5" type="noConversion"/>
  </si>
  <si>
    <r>
      <rPr>
        <sz val="11"/>
        <color theme="1"/>
        <rFont val="Calibri"/>
        <family val="2"/>
        <charset val="129"/>
        <scheme val="minor"/>
      </rPr>
      <t>□</t>
    </r>
    <r>
      <rPr>
        <sz val="11"/>
        <rFont val="Arial"/>
        <family val="2"/>
      </rPr>
      <t xml:space="preserve"> "Target Rack Not Exist" : There is no rack to close the contactor.</t>
    </r>
    <phoneticPr fontId="5" type="noConversion"/>
  </si>
  <si>
    <r>
      <rPr>
        <sz val="11"/>
        <color theme="1"/>
        <rFont val="Calibri"/>
        <family val="2"/>
        <charset val="129"/>
        <scheme val="minor"/>
      </rPr>
      <t>□</t>
    </r>
    <r>
      <rPr>
        <sz val="11"/>
        <rFont val="Arial"/>
        <family val="2"/>
      </rPr>
      <t xml:space="preserve"> "Target Rack Not Exist" : The are no racks selected.</t>
    </r>
    <phoneticPr fontId="5" type="noConversion"/>
  </si>
  <si>
    <r>
      <rPr>
        <sz val="11"/>
        <color theme="1"/>
        <rFont val="Calibri"/>
        <family val="2"/>
        <charset val="129"/>
        <scheme val="minor"/>
      </rPr>
      <t>□</t>
    </r>
    <r>
      <rPr>
        <sz val="11"/>
        <rFont val="Arial"/>
        <family val="2"/>
      </rPr>
      <t xml:space="preserve"> "In Progress" : If all of the above conditions are not met, contactors of the racks within the range of reference voltage will be closed.</t>
    </r>
    <phoneticPr fontId="5" type="noConversion"/>
  </si>
  <si>
    <r>
      <rPr>
        <sz val="11"/>
        <color theme="1"/>
        <rFont val="Calibri"/>
        <family val="2"/>
        <charset val="129"/>
        <scheme val="minor"/>
      </rPr>
      <t>□</t>
    </r>
    <r>
      <rPr>
        <sz val="11"/>
        <rFont val="Arial"/>
        <family val="2"/>
      </rPr>
      <t xml:space="preserve"> "Over Voltage(or SOC) Deviation" : The voltage(or SOC) deviation between the selected racks is too large.</t>
    </r>
    <phoneticPr fontId="5" type="noConversion"/>
  </si>
  <si>
    <t>Enter Manual</t>
  </si>
  <si>
    <r>
      <rPr>
        <sz val="11"/>
        <color theme="1"/>
        <rFont val="Calibri"/>
        <family val="2"/>
        <charset val="129"/>
        <scheme val="minor"/>
      </rPr>
      <t>□</t>
    </r>
    <r>
      <rPr>
        <sz val="11"/>
        <rFont val="Arial"/>
        <family val="2"/>
      </rPr>
      <t xml:space="preserve"> "BSC Manual Mode"</t>
    </r>
    <phoneticPr fontId="5" type="noConversion"/>
  </si>
  <si>
    <r>
      <rPr>
        <sz val="11"/>
        <color theme="1"/>
        <rFont val="Calibri"/>
        <family val="2"/>
        <charset val="129"/>
        <scheme val="minor"/>
      </rPr>
      <t>□</t>
    </r>
    <r>
      <rPr>
        <sz val="11"/>
        <rFont val="Arial"/>
        <family val="2"/>
      </rPr>
      <t xml:space="preserve"> "BSC Warning or Fault" : A COF diagnosis occurs in a rack without CB.</t>
    </r>
    <phoneticPr fontId="5" type="noConversion"/>
  </si>
  <si>
    <r>
      <rPr>
        <sz val="11"/>
        <color theme="1"/>
        <rFont val="Calibri"/>
        <family val="2"/>
        <charset val="129"/>
        <scheme val="minor"/>
      </rPr>
      <t>□</t>
    </r>
    <r>
      <rPr>
        <sz val="11"/>
        <rFont val="Arial"/>
        <family val="2"/>
      </rPr>
      <t xml:space="preserve"> "In Progress" : If all of the above conditions are not met, BSC state will turn to Manual.</t>
    </r>
    <phoneticPr fontId="5" type="noConversion"/>
  </si>
  <si>
    <t>Exit Manual</t>
  </si>
  <si>
    <r>
      <rPr>
        <sz val="11"/>
        <color theme="1"/>
        <rFont val="Calibri"/>
        <family val="2"/>
        <charset val="129"/>
        <scheme val="minor"/>
      </rPr>
      <t>□</t>
    </r>
    <r>
      <rPr>
        <sz val="11"/>
        <rFont val="Arial"/>
        <family val="2"/>
      </rPr>
      <t xml:space="preserve"> "BSC Normal Mode"</t>
    </r>
    <phoneticPr fontId="5" type="noConversion"/>
  </si>
  <si>
    <r>
      <rPr>
        <sz val="11"/>
        <color theme="1"/>
        <rFont val="Calibri"/>
        <family val="2"/>
        <charset val="129"/>
        <scheme val="minor"/>
      </rPr>
      <t>□</t>
    </r>
    <r>
      <rPr>
        <sz val="11"/>
        <rFont val="Arial"/>
        <family val="2"/>
      </rPr>
      <t xml:space="preserve"> "BSC NPS Mode"</t>
    </r>
    <phoneticPr fontId="5" type="noConversion"/>
  </si>
  <si>
    <r>
      <rPr>
        <sz val="11"/>
        <color theme="1"/>
        <rFont val="Calibri"/>
        <family val="2"/>
        <charset val="129"/>
        <scheme val="minor"/>
      </rPr>
      <t>□</t>
    </r>
    <r>
      <rPr>
        <sz val="11"/>
        <rFont val="Arial"/>
        <family val="2"/>
      </rPr>
      <t xml:space="preserve"> "In Progress" : If all of the above conditions are not met, BSC state will turn to Normal.</t>
    </r>
    <phoneticPr fontId="5" type="noConversion"/>
  </si>
  <si>
    <r>
      <rPr>
        <sz val="11"/>
        <color theme="1"/>
        <rFont val="Calibri"/>
        <family val="2"/>
        <charset val="129"/>
        <scheme val="minor"/>
      </rPr>
      <t>□</t>
    </r>
    <r>
      <rPr>
        <sz val="11"/>
        <rFont val="Arial"/>
        <family val="2"/>
      </rPr>
      <t xml:space="preserve"> "Within Cooldown Time" : Same request is not allowed for cooldown time(30sec) once the request has been conducted.</t>
    </r>
    <phoneticPr fontId="5" type="noConversion"/>
  </si>
  <si>
    <r>
      <rPr>
        <sz val="11"/>
        <color theme="1"/>
        <rFont val="Calibri"/>
        <family val="2"/>
        <charset val="129"/>
        <scheme val="minor"/>
      </rPr>
      <t>□</t>
    </r>
    <r>
      <rPr>
        <sz val="11"/>
        <rFont val="Arial"/>
        <family val="2"/>
      </rPr>
      <t xml:space="preserve"> "In Progress" : If all of the above conditions are not met, all occurred diagnoses will be cleared.</t>
    </r>
    <phoneticPr fontId="5" type="noConversion"/>
  </si>
  <si>
    <t>Reset</t>
    <phoneticPr fontId="5" type="noConversion"/>
  </si>
  <si>
    <r>
      <rPr>
        <sz val="11"/>
        <color theme="1"/>
        <rFont val="Calibri"/>
        <family val="2"/>
        <charset val="129"/>
        <scheme val="minor"/>
      </rPr>
      <t>□</t>
    </r>
    <r>
      <rPr>
        <sz val="11"/>
        <rFont val="Arial"/>
        <family val="2"/>
      </rPr>
      <t xml:space="preserve"> "In Progress" : BSC will reboot itself.</t>
    </r>
    <phoneticPr fontId="5" type="noConversion"/>
  </si>
  <si>
    <r>
      <rPr>
        <sz val="11"/>
        <color theme="1"/>
        <rFont val="Calibri"/>
        <family val="2"/>
        <charset val="129"/>
        <scheme val="minor"/>
      </rPr>
      <t>□</t>
    </r>
    <r>
      <rPr>
        <sz val="11"/>
        <rFont val="Arial"/>
        <family val="2"/>
      </rPr>
      <t xml:space="preserve"> "Current Flows" : Charge status is not idle.</t>
    </r>
    <phoneticPr fontId="3" type="noConversion"/>
  </si>
  <si>
    <r>
      <rPr>
        <sz val="11"/>
        <rFont val="Segoe UI Symbol"/>
        <family val="2"/>
      </rPr>
      <t>□</t>
    </r>
    <r>
      <rPr>
        <sz val="11"/>
        <rFont val="Arial"/>
        <family val="2"/>
      </rPr>
      <t xml:space="preserve"> "In Progress" : BSC will reboot itself.</t>
    </r>
    <phoneticPr fontId="3" type="noConversion"/>
  </si>
  <si>
    <t>Rack Data</t>
    <phoneticPr fontId="5" type="noConversion"/>
  </si>
  <si>
    <t>Rack ID :</t>
    <phoneticPr fontId="5" type="noConversion"/>
  </si>
  <si>
    <t>&lt;= Change ID to see corresponding address.</t>
    <phoneticPr fontId="5" type="noConversion"/>
  </si>
  <si>
    <t>RBMS SW Version</t>
    <phoneticPr fontId="5" type="noConversion"/>
  </si>
  <si>
    <t>b31 ~ b0: Version(x.x.x.x)</t>
    <phoneticPr fontId="5" type="noConversion"/>
  </si>
  <si>
    <t>SW Version
e.g.) 0x01053203 -&gt; SW V1.5.32.3 (BCD)</t>
  </si>
  <si>
    <t>Updater Version</t>
    <phoneticPr fontId="5" type="noConversion"/>
  </si>
  <si>
    <t>SW Version
e.g.) 0x12345678 -&gt; SW V12.34.56.78 (BCD)</t>
  </si>
  <si>
    <t>Boot Selector Version</t>
    <phoneticPr fontId="5" type="noConversion"/>
  </si>
  <si>
    <t>RBMS SW Checksum</t>
  </si>
  <si>
    <t>b31 ~ b0: SW Checksum</t>
  </si>
  <si>
    <t>e.g.) 0x01020304</t>
  </si>
  <si>
    <t>uint128</t>
    <phoneticPr fontId="5" type="noConversion"/>
  </si>
  <si>
    <t>BMS SW Name</t>
    <phoneticPr fontId="5" type="noConversion"/>
  </si>
  <si>
    <t>b127 ~ b0: string</t>
    <phoneticPr fontId="5" type="noConversion"/>
  </si>
  <si>
    <t>BMS SW Name
e.g.) 0x4733585F52424D53 : "G3X_RBMS"</t>
  </si>
  <si>
    <t>BMS Serial Number</t>
    <phoneticPr fontId="5" type="noConversion"/>
  </si>
  <si>
    <t>b31 ~ b0: Serial Number</t>
    <phoneticPr fontId="5" type="noConversion"/>
  </si>
  <si>
    <t>Serial Number
e.g.) 0x4E25F371(hex) = 1311110001(dec)</t>
  </si>
  <si>
    <t>BMS HW Version</t>
    <phoneticPr fontId="5" type="noConversion"/>
  </si>
  <si>
    <t>b31 ~ b0: Version(x.x)</t>
    <phoneticPr fontId="5" type="noConversion"/>
  </si>
  <si>
    <t>BMS HW Version
e.g.) 0x00010002 -&gt; HW V1.2 (BCD)</t>
  </si>
  <si>
    <t>Current Sensor Type</t>
    <phoneticPr fontId="5" type="noConversion"/>
  </si>
  <si>
    <t>b15 ~ b0: Current Sensor Type</t>
    <phoneticPr fontId="5" type="noConversion"/>
  </si>
  <si>
    <t>e.g.) Network Type + Hall Type : 1, Hall Type : 0</t>
  </si>
  <si>
    <t>Relay Close Current Spec</t>
    <phoneticPr fontId="5" type="noConversion"/>
  </si>
  <si>
    <t>b15 ~ b0: Current</t>
    <phoneticPr fontId="5" type="noConversion"/>
  </si>
  <si>
    <t>Relay Close Current Spec.
e.g.) 0x00C8 -&gt; 200 A</t>
  </si>
  <si>
    <t>Pack Count</t>
    <phoneticPr fontId="5" type="noConversion"/>
  </si>
  <si>
    <t>b15 ~ b0: Pack Count</t>
    <phoneticPr fontId="5" type="noConversion"/>
  </si>
  <si>
    <t>Pack Count
e.g.) 0x0004 -&gt; 4 (ea)</t>
  </si>
  <si>
    <t>BMIC Count per Pack</t>
    <phoneticPr fontId="5" type="noConversion"/>
  </si>
  <si>
    <t>b15 ~ b0: BMIC Count</t>
    <phoneticPr fontId="5" type="noConversion"/>
  </si>
  <si>
    <t>ea</t>
  </si>
  <si>
    <t>BMIC Count
e.g.) 0x0002 -&gt; 2 (ea)</t>
  </si>
  <si>
    <t>Temperature Sensor Count</t>
    <phoneticPr fontId="5" type="noConversion"/>
  </si>
  <si>
    <t>b15 ~ b0: Temperature Sensor Count per Pack</t>
    <phoneticPr fontId="5" type="noConversion"/>
  </si>
  <si>
    <t>Temperature Sensor Count per Pack
e.g.) 0x0004 -&gt; 4 (ea)</t>
  </si>
  <si>
    <t>PCB Temperature Sensor Count</t>
    <phoneticPr fontId="5" type="noConversion"/>
  </si>
  <si>
    <t>b15 ~ b0: PCB Temperature Sensor Count per Pack</t>
    <phoneticPr fontId="5" type="noConversion"/>
  </si>
  <si>
    <t>Ambient Temperature Sensor Count per Pack
e.g.) 0x0002 -&gt; 2 (ea)</t>
  </si>
  <si>
    <t>Pack Voltage Sensor Count</t>
    <phoneticPr fontId="5" type="noConversion"/>
  </si>
  <si>
    <t>b15 ~ b0: Pack Voltage Sensor Count per Pack</t>
    <phoneticPr fontId="5" type="noConversion"/>
  </si>
  <si>
    <t>Voltage Sensor Count</t>
    <phoneticPr fontId="5" type="noConversion"/>
  </si>
  <si>
    <t>b15 ~ b0: Voltage Sensor Count per Pack</t>
    <phoneticPr fontId="5" type="noConversion"/>
  </si>
  <si>
    <t>Voltage Sensor Count per Pack
e.g.) 0x000E -&gt; 14 (ea)</t>
  </si>
  <si>
    <t>Pack Type</t>
    <phoneticPr fontId="5" type="noConversion"/>
  </si>
  <si>
    <t>b15 ~ b0 : Pack Type</t>
    <phoneticPr fontId="5" type="noConversion"/>
  </si>
  <si>
    <t>e.g.) 0x0503</t>
  </si>
  <si>
    <t>State</t>
    <phoneticPr fontId="5" type="noConversion"/>
  </si>
  <si>
    <t>0x00 : Initialization</t>
    <phoneticPr fontId="5" type="noConversion"/>
  </si>
  <si>
    <t>0x01 : ID Set</t>
    <phoneticPr fontId="5" type="noConversion"/>
  </si>
  <si>
    <t>0x02 : ID Set Complete</t>
    <phoneticPr fontId="5" type="noConversion"/>
  </si>
  <si>
    <t>0x03 : BMIC Init</t>
    <phoneticPr fontId="5" type="noConversion"/>
  </si>
  <si>
    <t>0x04 : Pack SOH Read Fail</t>
    <phoneticPr fontId="5" type="noConversion"/>
  </si>
  <si>
    <t>0x05 : BMIC Wake Fail</t>
    <phoneticPr fontId="5" type="noConversion"/>
  </si>
  <si>
    <t>0x06 : N/A</t>
    <phoneticPr fontId="5" type="noConversion"/>
  </si>
  <si>
    <t>0x07 : No Configuration</t>
    <phoneticPr fontId="5" type="noConversion"/>
  </si>
  <si>
    <t>0x08 : Initial Diag</t>
    <phoneticPr fontId="5" type="noConversion"/>
  </si>
  <si>
    <t>0x09 : Normal</t>
    <phoneticPr fontId="5" type="noConversion"/>
  </si>
  <si>
    <t>0x0A : Normal Power Saving</t>
    <phoneticPr fontId="5" type="noConversion"/>
  </si>
  <si>
    <t>0x0B : Protective Power Saving</t>
    <phoneticPr fontId="5" type="noConversion"/>
  </si>
  <si>
    <t>0x0C : Manual</t>
    <phoneticPr fontId="5" type="noConversion"/>
  </si>
  <si>
    <t>0x0D : Emergency</t>
    <phoneticPr fontId="5" type="noConversion"/>
  </si>
  <si>
    <t xml:space="preserve">    : Reserved</t>
    <phoneticPr fontId="5" type="noConversion"/>
  </si>
  <si>
    <t>Status Flags</t>
    <phoneticPr fontId="5" type="noConversion"/>
  </si>
  <si>
    <t>b15 : Reserved</t>
    <phoneticPr fontId="5" type="noConversion"/>
  </si>
  <si>
    <t>big flags</t>
    <phoneticPr fontId="5" type="noConversion"/>
  </si>
  <si>
    <t>b14~b11 : N/A</t>
    <phoneticPr fontId="5" type="noConversion"/>
  </si>
  <si>
    <t>b10 : Current Sensor Usage</t>
    <phoneticPr fontId="5" type="noConversion"/>
  </si>
  <si>
    <t>b10 : network type : 1, hall type : 0</t>
    <phoneticPr fontId="5" type="noConversion"/>
  </si>
  <si>
    <t>b9 : Charge Power Control</t>
    <phoneticPr fontId="5" type="noConversion"/>
  </si>
  <si>
    <t>b9 : In De-rating : 1, Not In De-rating : 0</t>
    <phoneticPr fontId="5" type="noConversion"/>
  </si>
  <si>
    <t>b8 : Battery Ready Status</t>
    <phoneticPr fontId="5" type="noConversion"/>
  </si>
  <si>
    <t>b8 : Not Ready to Connect : 0, Ready to Connect : 1</t>
    <phoneticPr fontId="5" type="noConversion"/>
  </si>
  <si>
    <t>b7 : DC Line Status</t>
    <phoneticPr fontId="5" type="noConversion"/>
  </si>
  <si>
    <t>b7 : Opened : 0, Closed : 1</t>
    <phoneticPr fontId="5" type="noConversion"/>
  </si>
  <si>
    <t>b6 ~ b5 : CER</t>
    <phoneticPr fontId="5" type="noConversion"/>
  </si>
  <si>
    <r>
      <t>b6 ~ b5 : Normal : 00,</t>
    </r>
    <r>
      <rPr>
        <sz val="10"/>
        <rFont val="Arial"/>
        <family val="2"/>
      </rPr>
      <t xml:space="preserve"> MDVF : 10, RDVF : 11</t>
    </r>
    <phoneticPr fontId="5" type="noConversion"/>
  </si>
  <si>
    <t>b4 ~ b3 : Battery Charge/Discharge Status</t>
    <phoneticPr fontId="5" type="noConversion"/>
  </si>
  <si>
    <t>b4 ~ b3 : Battery Idle Status : 00, Battery Discharge Status : 01, Battery Charge Status : 10</t>
    <phoneticPr fontId="5" type="noConversion"/>
  </si>
  <si>
    <t>b2: Fault :1, No Fault :0</t>
    <phoneticPr fontId="5" type="noConversion"/>
  </si>
  <si>
    <t>b1: Warning : 1, No Warning :0</t>
    <phoneticPr fontId="5" type="noConversion"/>
  </si>
  <si>
    <t>b0: Cell Balancing Status</t>
    <phoneticPr fontId="5" type="noConversion"/>
  </si>
  <si>
    <t>b0: running cell balancing : 1, Not running :0</t>
    <phoneticPr fontId="5" type="noConversion"/>
  </si>
  <si>
    <t>Other bits reserved</t>
    <phoneticPr fontId="5" type="noConversion"/>
  </si>
  <si>
    <t>Component Status</t>
    <phoneticPr fontId="5" type="noConversion"/>
  </si>
  <si>
    <t>b15 ~ b14 : reserved</t>
    <phoneticPr fontId="5" type="noConversion"/>
  </si>
  <si>
    <t>big flags</t>
  </si>
  <si>
    <t>b13 ~ b12 : BPU Fan</t>
    <phoneticPr fontId="5" type="noConversion"/>
  </si>
  <si>
    <t>b13 ~ b12 : No Use : 00, Use and Idle : 10, Use and Running : 11</t>
    <phoneticPr fontId="5" type="noConversion"/>
  </si>
  <si>
    <t>b11 ~ b10 : Pack Fan2</t>
    <phoneticPr fontId="5" type="noConversion"/>
  </si>
  <si>
    <t>b11 ~ b10 : No Use : 00, Use and Idle : 10, Use and Running : 11</t>
    <phoneticPr fontId="5" type="noConversion"/>
  </si>
  <si>
    <t>b9 ~ b8 : Pack Fan1</t>
    <phoneticPr fontId="5" type="noConversion"/>
  </si>
  <si>
    <t>b9 ~ b8 : No Use : 00, Use and Idle : 10, Use and Running : 11</t>
    <phoneticPr fontId="5" type="noConversion"/>
  </si>
  <si>
    <t>b7 ~ b6 : CB</t>
    <phoneticPr fontId="5" type="noConversion"/>
  </si>
  <si>
    <t>b7 ~ b6 : No Use : 00, Use and Opened : 10, Use and Closed : 11</t>
    <phoneticPr fontId="5" type="noConversion"/>
  </si>
  <si>
    <t>b5 ~ b4 : MC(-)</t>
    <phoneticPr fontId="5" type="noConversion"/>
  </si>
  <si>
    <t>b5 ~ b4 : No Use : 00, Use and Opened : 10, Use and Closed : 11</t>
    <phoneticPr fontId="5" type="noConversion"/>
  </si>
  <si>
    <t>b3 ~ b2 : MC(+)</t>
    <phoneticPr fontId="5" type="noConversion"/>
  </si>
  <si>
    <t>b3 ~ b2 : No Use : 00, Use and Opened : 10, Use and Closed : 11</t>
    <phoneticPr fontId="5" type="noConversion"/>
  </si>
  <si>
    <t>b1 ~ b0 : PC</t>
    <phoneticPr fontId="5" type="noConversion"/>
  </si>
  <si>
    <t>b1 ~ b0 : No Use : 00, Use and Opened : 10, Use and Closed : 11</t>
    <phoneticPr fontId="5" type="noConversion"/>
  </si>
  <si>
    <t>Component Feedback Status</t>
    <phoneticPr fontId="5" type="noConversion"/>
  </si>
  <si>
    <t>b15 ~ b14 : Fuse</t>
    <phoneticPr fontId="5" type="noConversion"/>
  </si>
  <si>
    <t>b15 ~ b14 : No Use : 00, Use and Opened : 10, Use and Closed : 11</t>
    <phoneticPr fontId="5" type="noConversion"/>
  </si>
  <si>
    <t>b1 ~ b0 : reserved</t>
    <phoneticPr fontId="5" type="noConversion"/>
  </si>
  <si>
    <t>Heart Beat (from RBMS)</t>
    <phoneticPr fontId="5" type="noConversion"/>
  </si>
  <si>
    <t>heartbeat</t>
    <phoneticPr fontId="5" type="noConversion"/>
  </si>
  <si>
    <t>Data is incremented by 1  (every 1sec) for a period of transmission</t>
    <phoneticPr fontId="5" type="noConversion"/>
  </si>
  <si>
    <t>Live Unit Count</t>
    <phoneticPr fontId="5" type="noConversion"/>
  </si>
  <si>
    <t>b15 ~ b0 : The number of wake pbms</t>
    <phoneticPr fontId="5" type="noConversion"/>
  </si>
  <si>
    <t>Awaken PBMS Count
e.g.) 0x00C8 -&gt; 200</t>
  </si>
  <si>
    <t>Remaining Balancing Time</t>
    <phoneticPr fontId="5" type="noConversion"/>
  </si>
  <si>
    <t>b31 ~ b0 : Remaining Balancing Time</t>
    <phoneticPr fontId="5" type="noConversion"/>
  </si>
  <si>
    <t>s</t>
    <phoneticPr fontId="5" type="noConversion"/>
  </si>
  <si>
    <t>e.g.) 0x00015180 -&gt; 86400 [s]</t>
  </si>
  <si>
    <t>SOC</t>
    <phoneticPr fontId="5" type="noConversion"/>
  </si>
  <si>
    <t>b15 ~ b0 : Rack SOC</t>
    <phoneticPr fontId="5" type="noConversion"/>
  </si>
  <si>
    <t>e.g.) 0x20DA -&gt; 0x20DA / 100 = 84.10 [%]</t>
  </si>
  <si>
    <t>SOH</t>
    <phoneticPr fontId="5" type="noConversion"/>
  </si>
  <si>
    <t>b15 ~ b0 : Rack SOH</t>
    <phoneticPr fontId="5" type="noConversion"/>
  </si>
  <si>
    <t>Charge Power Limit</t>
    <phoneticPr fontId="5" type="noConversion"/>
  </si>
  <si>
    <t>b31 ~ b0 : Charge Power Limit</t>
    <phoneticPr fontId="5" type="noConversion"/>
  </si>
  <si>
    <t>e.g.) 0x0001 1BC1 -&gt; 0x0001 1BC1 / 1000 = 72.641 [kW]</t>
  </si>
  <si>
    <t>Discharge Power Limit</t>
    <phoneticPr fontId="5" type="noConversion"/>
  </si>
  <si>
    <t>b31 ~ b0 : Discharge Power Limit</t>
    <phoneticPr fontId="5" type="noConversion"/>
  </si>
  <si>
    <t>Cell Sum Voltage</t>
    <phoneticPr fontId="5" type="noConversion"/>
  </si>
  <si>
    <t>b31 ~ b0 : Cell Sum Voltage</t>
    <phoneticPr fontId="5" type="noConversion"/>
  </si>
  <si>
    <t>e.g.) 0x0072 C14D -&gt; 0x72 C14D / 10000 = 752.0589 [V]</t>
  </si>
  <si>
    <t>int32</t>
    <phoneticPr fontId="5" type="noConversion"/>
  </si>
  <si>
    <t>Current</t>
    <phoneticPr fontId="5" type="noConversion"/>
  </si>
  <si>
    <t>b31 ~ b0 : Current</t>
    <phoneticPr fontId="5" type="noConversion"/>
  </si>
  <si>
    <r>
      <t xml:space="preserve">e.g.) 0x0001 329E -&gt; 0x0001 329E / 1000 = 78.494 [A], , 0xFFFE CD5F </t>
    </r>
    <r>
      <rPr>
        <sz val="10"/>
        <color rgb="FF0070C0"/>
        <rFont val="돋움"/>
        <family val="3"/>
        <charset val="129"/>
      </rPr>
      <t>→</t>
    </r>
    <r>
      <rPr>
        <sz val="10"/>
        <color rgb="FF0070C0"/>
        <rFont val="Arial"/>
        <family val="2"/>
      </rPr>
      <t xml:space="preserve"> -78497 / 1000 = -78.497[A]</t>
    </r>
    <phoneticPr fontId="5" type="noConversion"/>
  </si>
  <si>
    <t>Rack Deviation Voltage</t>
    <phoneticPr fontId="5" type="noConversion"/>
  </si>
  <si>
    <t>b15: Fault2</t>
    <phoneticPr fontId="5" type="noConversion"/>
  </si>
  <si>
    <t>b14: Fault1</t>
    <phoneticPr fontId="5" type="noConversion"/>
  </si>
  <si>
    <t>Pack Deviation Voltage</t>
    <phoneticPr fontId="5" type="noConversion"/>
  </si>
  <si>
    <t>b11: Fault2</t>
    <phoneticPr fontId="5" type="noConversion"/>
  </si>
  <si>
    <t>b10: Fault1</t>
    <phoneticPr fontId="5" type="noConversion"/>
  </si>
  <si>
    <t>b9: Warning</t>
    <phoneticPr fontId="5" type="noConversion"/>
  </si>
  <si>
    <t>b8: Alarm</t>
    <phoneticPr fontId="5" type="noConversion"/>
  </si>
  <si>
    <t>Under Voltage</t>
    <phoneticPr fontId="5" type="noConversion"/>
  </si>
  <si>
    <t>b7: Fault2</t>
    <phoneticPr fontId="5" type="noConversion"/>
  </si>
  <si>
    <t>b6: Fault1</t>
    <phoneticPr fontId="5" type="noConversion"/>
  </si>
  <si>
    <t>b5: Warning</t>
    <phoneticPr fontId="5" type="noConversion"/>
  </si>
  <si>
    <t>b4: Alarm</t>
    <phoneticPr fontId="5" type="noConversion"/>
  </si>
  <si>
    <t>Over Voltage</t>
    <phoneticPr fontId="5" type="noConversion"/>
  </si>
  <si>
    <t>b3: Fault2</t>
    <phoneticPr fontId="5" type="noConversion"/>
  </si>
  <si>
    <t>b2: Fault1</t>
    <phoneticPr fontId="5" type="noConversion"/>
  </si>
  <si>
    <t>Rack Over Charge Current</t>
    <phoneticPr fontId="5" type="noConversion"/>
  </si>
  <si>
    <t>Sudden Voltage Drop</t>
    <phoneticPr fontId="5" type="noConversion"/>
  </si>
  <si>
    <t>Under Temperature</t>
    <phoneticPr fontId="5" type="noConversion"/>
  </si>
  <si>
    <t>Over Temperature</t>
    <phoneticPr fontId="5" type="noConversion"/>
  </si>
  <si>
    <t>Rack Over Discharge Current</t>
    <phoneticPr fontId="5" type="noConversion"/>
  </si>
  <si>
    <t>Rack Over Charge Power</t>
    <phoneticPr fontId="5" type="noConversion"/>
  </si>
  <si>
    <t>Deviation Temperature</t>
    <phoneticPr fontId="5" type="noConversion"/>
  </si>
  <si>
    <t>Under SOH</t>
    <phoneticPr fontId="5" type="noConversion"/>
  </si>
  <si>
    <t>Rack Under SOC</t>
    <phoneticPr fontId="5" type="noConversion"/>
  </si>
  <si>
    <t>Rack Over SOC</t>
    <phoneticPr fontId="5" type="noConversion"/>
  </si>
  <si>
    <t>Rack Over Discharge Power</t>
    <phoneticPr fontId="5" type="noConversion"/>
  </si>
  <si>
    <t>Rack-BSC LOC by Rack</t>
    <phoneticPr fontId="5" type="noConversion"/>
  </si>
  <si>
    <t>Rack-Pack LOC</t>
  </si>
  <si>
    <t>Frequent Balancing</t>
    <phoneticPr fontId="5" type="noConversion"/>
  </si>
  <si>
    <t>Cycle Count</t>
    <phoneticPr fontId="5" type="noConversion"/>
  </si>
  <si>
    <t>Reserved (for Diagnostics)</t>
  </si>
  <si>
    <t>Main Contactor Feedback Error</t>
    <phoneticPr fontId="5" type="noConversion"/>
  </si>
  <si>
    <t>Temperature Sensor Error</t>
    <phoneticPr fontId="5" type="noConversion"/>
  </si>
  <si>
    <t>Current Sensor Error</t>
    <phoneticPr fontId="5" type="noConversion"/>
  </si>
  <si>
    <t>Contactor Open Failure</t>
    <phoneticPr fontId="5" type="noConversion"/>
  </si>
  <si>
    <t>PBMS Fault</t>
  </si>
  <si>
    <t>Pack Fan Error</t>
  </si>
  <si>
    <t>Vaux 3.3V Error</t>
    <phoneticPr fontId="5" type="noConversion"/>
  </si>
  <si>
    <t>Vcore 1.25V Error</t>
    <phoneticPr fontId="5" type="noConversion"/>
  </si>
  <si>
    <t>CT 13.3V Error</t>
    <phoneticPr fontId="5" type="noConversion"/>
  </si>
  <si>
    <t>CT 5V Error</t>
    <phoneticPr fontId="5" type="noConversion"/>
  </si>
  <si>
    <t>SMPS 24V Error</t>
    <phoneticPr fontId="5" type="noConversion"/>
  </si>
  <si>
    <t>Vpre 6.5V Error</t>
    <phoneticPr fontId="5" type="noConversion"/>
  </si>
  <si>
    <t>Vcca 5V Error</t>
    <phoneticPr fontId="5" type="noConversion"/>
  </si>
  <si>
    <t>SBC 5V Error</t>
  </si>
  <si>
    <t>MC2 24V Error</t>
  </si>
  <si>
    <t>MC1 24V Error</t>
  </si>
  <si>
    <t>MC Open Over Count</t>
    <phoneticPr fontId="5" type="noConversion"/>
  </si>
  <si>
    <t>SBC Fail Safe EDC Error</t>
    <phoneticPr fontId="5" type="noConversion"/>
  </si>
  <si>
    <t>SBC Fail Safe Redundant Error</t>
    <phoneticPr fontId="5" type="noConversion"/>
  </si>
  <si>
    <t>SBC RSTB Error</t>
    <phoneticPr fontId="5" type="noConversion"/>
  </si>
  <si>
    <t>RBMS Updater Version Mismatch</t>
    <phoneticPr fontId="5" type="noConversion"/>
  </si>
  <si>
    <t>Reserved (for Diagnostics)</t>
    <phoneticPr fontId="5" type="noConversion"/>
  </si>
  <si>
    <t>Max Cell Voltage</t>
    <phoneticPr fontId="5" type="noConversion"/>
  </si>
  <si>
    <t>b15 ~ b0 : Max Cell Voltage</t>
    <phoneticPr fontId="5" type="noConversion"/>
  </si>
  <si>
    <t>e.g.) 0x89D8 -&gt; 0x89D8 * 0.0001 = 3.5288 [V]</t>
  </si>
  <si>
    <t>Min Cell Voltage</t>
    <phoneticPr fontId="5" type="noConversion"/>
  </si>
  <si>
    <t>b15 ~ b0 : Min Cell Voltage</t>
    <phoneticPr fontId="5" type="noConversion"/>
  </si>
  <si>
    <t>Avg Cell Voltage</t>
    <phoneticPr fontId="5" type="noConversion"/>
  </si>
  <si>
    <t>b15 ~ b0 : Avg Cell Voltage</t>
    <phoneticPr fontId="5" type="noConversion"/>
  </si>
  <si>
    <t>Max Cell Location</t>
    <phoneticPr fontId="5" type="noConversion"/>
  </si>
  <si>
    <t>b15 ~ b8 : Pack Location</t>
    <phoneticPr fontId="5" type="noConversion"/>
  </si>
  <si>
    <t>e.g.) 0x0F07 -&gt; Pack ID : 15 / Cell ID : 7</t>
  </si>
  <si>
    <t>b7 ~ b0 : Cell Location</t>
  </si>
  <si>
    <t>Min Cell Location</t>
    <phoneticPr fontId="5" type="noConversion"/>
  </si>
  <si>
    <t>int16</t>
    <phoneticPr fontId="5" type="noConversion"/>
  </si>
  <si>
    <t>Max Pack Temperature</t>
    <phoneticPr fontId="5" type="noConversion"/>
  </si>
  <si>
    <t>b15 ~ b0 : Max Pack Temperature</t>
    <phoneticPr fontId="5" type="noConversion"/>
  </si>
  <si>
    <t>oC</t>
    <phoneticPr fontId="5" type="noConversion"/>
  </si>
  <si>
    <t>e.g.)0xFB -&gt; (0xFB * 0.1) = 25.1</t>
  </si>
  <si>
    <t>Min Pack Temperature</t>
    <phoneticPr fontId="5" type="noConversion"/>
  </si>
  <si>
    <t>b15 ~ b0 : Min Pack Temperature</t>
    <phoneticPr fontId="5" type="noConversion"/>
  </si>
  <si>
    <t>Avg Pack Temperature</t>
    <phoneticPr fontId="5" type="noConversion"/>
  </si>
  <si>
    <t>b15 ~ b0 : Avg Pack Temperature</t>
    <phoneticPr fontId="5" type="noConversion"/>
  </si>
  <si>
    <t>Max Temperature Location</t>
  </si>
  <si>
    <t>e.g.) 0x0F07 -&gt; Pack ID : 15 / Temperature Sensor ID : 7</t>
  </si>
  <si>
    <t>b7 ~ b0 : Temperature Sensor Location</t>
    <phoneticPr fontId="5" type="noConversion"/>
  </si>
  <si>
    <t>Min Temperature Location</t>
    <phoneticPr fontId="5" type="noConversion"/>
  </si>
  <si>
    <t>Max Difference of Temperature in Rack</t>
  </si>
  <si>
    <t>b15 ~ b0 : Max Difference of Temperature in Rack</t>
    <phoneticPr fontId="5" type="noConversion"/>
  </si>
  <si>
    <t>Max Difference of Temperature in Pack</t>
  </si>
  <si>
    <t>b15 ~ b0 : Max Difference of Temperature in Pack</t>
    <phoneticPr fontId="5" type="noConversion"/>
  </si>
  <si>
    <t>MC Open Count</t>
    <phoneticPr fontId="5" type="noConversion"/>
  </si>
  <si>
    <t>Calibration Information</t>
    <phoneticPr fontId="5" type="noConversion"/>
  </si>
  <si>
    <t>b15~b8: Recalibration Count from SOX (cyclic up count:  0~9)
b7~b0 : Flag for Calibration request from SOX
- ex) 0x00: No request  , 0x01 : SOX recommend Full Charge for SOC Recalibration</t>
    <phoneticPr fontId="5" type="noConversion"/>
  </si>
  <si>
    <t>Non-balancing Entry Period</t>
    <phoneticPr fontId="5" type="noConversion"/>
  </si>
  <si>
    <t>b15 ~ b0 : The elapsed time since entering the pre-condition or completing the cell balancing.</t>
    <phoneticPr fontId="5" type="noConversion"/>
  </si>
  <si>
    <t>day</t>
    <phoneticPr fontId="5" type="noConversion"/>
  </si>
  <si>
    <t>Rack Connection Fault</t>
    <phoneticPr fontId="5" type="noConversion"/>
  </si>
  <si>
    <t>Current Imbalanced Fault</t>
    <phoneticPr fontId="5" type="noConversion"/>
  </si>
  <si>
    <t>Rack-BSC LOC by BSC</t>
    <phoneticPr fontId="5" type="noConversion"/>
  </si>
  <si>
    <t>Reserved (for Diagnostics by BSC)</t>
    <phoneticPr fontId="5" type="noConversion"/>
  </si>
  <si>
    <t>Flex BSC Modbus Map</t>
    <phoneticPr fontId="5" type="noConversion"/>
  </si>
  <si>
    <t>CTO.BMS Research &amp; Development</t>
    <phoneticPr fontId="5" type="noConversion"/>
  </si>
  <si>
    <t>SW Development Team 4</t>
    <phoneticPr fontId="5" type="noConversion"/>
  </si>
  <si>
    <t>JF1 Rack</t>
    <phoneticPr fontId="5" type="noConversion"/>
  </si>
  <si>
    <t>ESS.Development.ESS BMS Dev</t>
    <phoneticPr fontId="5" type="noConversion"/>
  </si>
  <si>
    <t>JF1 Rack</t>
    <phoneticPr fontId="3" type="noConversion"/>
  </si>
  <si>
    <t>SW Development Team 2</t>
    <phoneticPr fontId="5" type="noConversion"/>
  </si>
  <si>
    <t>Paek SeungKyu
Lee Chungyong</t>
    <phoneticPr fontId="5" type="noConversion"/>
  </si>
  <si>
    <t>Add JF1</t>
    <phoneticPr fontId="5" type="noConversion"/>
  </si>
  <si>
    <t>Added Non-balancing entry period (Rack Data)</t>
    <phoneticPr fontId="5" type="noConversion"/>
  </si>
  <si>
    <t>AF</t>
    <phoneticPr fontId="3" type="noConversion"/>
  </si>
  <si>
    <t>Paek SeungKyu</t>
    <phoneticPr fontId="3" type="noConversion"/>
  </si>
  <si>
    <t>BSC Engineer</t>
    <phoneticPr fontId="3" type="noConversion"/>
  </si>
  <si>
    <t>Added BSC warning condition to BSC Fault ack.</t>
    <phoneticPr fontId="5" type="noConversion"/>
  </si>
  <si>
    <t>Added SOC condition to Over Voltage Deviation ack.</t>
    <phoneticPr fontId="5" type="noConversion"/>
  </si>
  <si>
    <t>Rack79</t>
    <phoneticPr fontId="5" type="noConversion"/>
  </si>
  <si>
    <t>Rack80</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</si>
</sst>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_);[Red]\(0.0\)"/>
    <numFmt numFmtId="165" formatCode="yyyy&quot;-&quot;m&quot;-&quot;d;@"/>
  </numFmts>
  <fonts count="47">
    <font>
      <sz val="11"/>
      <color theme="1"/>
      <name val="Calibri"/>
      <family val="2"/>
      <charset val="129"/>
      <scheme val="minor"/>
    </font>
    <font>
      <sz val="11"/>
      <name val="돋움"/>
      <family val="3"/>
      <charset val="129"/>
    </font>
    <font>
      <sz val="11"/>
      <color indexed="10"/>
      <name val="돋움"/>
      <family val="3"/>
      <charset val="129"/>
    </font>
    <font>
      <sz val="8"/>
      <name val="Calibri"/>
      <family val="2"/>
      <charset val="129"/>
      <scheme val="minor"/>
    </font>
    <font>
      <sz val="24"/>
      <name val="Times New Roman"/>
      <family val="1"/>
    </font>
    <font>
      <sz val="8"/>
      <name val="돋움"/>
      <family val="3"/>
      <charset val="129"/>
    </font>
    <font>
      <sz val="24"/>
      <name val="time"/>
      <family val="1"/>
    </font>
    <font>
      <sz val="10"/>
      <name val="Arial"/>
      <family val="2"/>
    </font>
    <font>
      <b/>
      <sz val="11"/>
      <name val="Trebuchet MS"/>
      <family val="2"/>
    </font>
    <font>
      <sz val="10"/>
      <name val="Trebuchet MS"/>
      <family val="2"/>
    </font>
    <font>
      <sz val="12"/>
      <name val="Times New Roman"/>
      <family val="1"/>
    </font>
    <font>
      <b/>
      <i/>
      <sz val="14"/>
      <color indexed="9"/>
      <name val="Times New Roman"/>
      <family val="1"/>
    </font>
    <font>
      <sz val="11"/>
      <name val="Times New Roman"/>
      <family val="1"/>
    </font>
    <font>
      <sz val="11"/>
      <name val="Trebuchet MS"/>
      <family val="2"/>
    </font>
    <font>
      <b/>
      <sz val="10"/>
      <name val="Trebuchet MS"/>
      <family val="2"/>
    </font>
    <font>
      <b/>
      <sz val="14"/>
      <name val="Calibri Light"/>
      <family val="3"/>
      <charset val="129"/>
      <scheme val="major"/>
    </font>
    <font>
      <sz val="11"/>
      <color theme="1"/>
      <name val="Trebuchet MS"/>
      <family val="2"/>
    </font>
    <font>
      <b/>
      <sz val="24"/>
      <name val="Arial"/>
      <family val="2"/>
    </font>
    <font>
      <b/>
      <sz val="14"/>
      <color indexed="10"/>
      <name val="Arial"/>
      <family val="2"/>
    </font>
    <font>
      <b/>
      <sz val="14"/>
      <name val="Arial"/>
      <family val="2"/>
    </font>
    <font>
      <b/>
      <sz val="14"/>
      <color rgb="FF0070C0"/>
      <name val="Arial"/>
      <family val="2"/>
    </font>
    <font>
      <b/>
      <sz val="10"/>
      <name val="Arial"/>
      <family val="2"/>
    </font>
    <font>
      <b/>
      <sz val="20"/>
      <name val="Arial"/>
      <family val="2"/>
    </font>
    <font>
      <sz val="10"/>
      <color theme="1"/>
      <name val="Arial"/>
      <family val="2"/>
    </font>
    <font>
      <sz val="10"/>
      <color rgb="FF0070C0"/>
      <name val="Arial"/>
      <family val="2"/>
    </font>
    <font>
      <sz val="10"/>
      <color rgb="FFFF0000"/>
      <name val="Arial"/>
      <family val="2"/>
    </font>
    <font>
      <sz val="10"/>
      <name val="돋움"/>
      <family val="3"/>
      <charset val="129"/>
    </font>
    <font>
      <b/>
      <sz val="10"/>
      <color theme="1"/>
      <name val="Arial"/>
      <family val="2"/>
    </font>
    <font>
      <sz val="10"/>
      <color theme="1"/>
      <name val="돋움"/>
      <family val="3"/>
      <charset val="129"/>
    </font>
    <font>
      <b/>
      <sz val="10"/>
      <color rgb="FFFF0000"/>
      <name val="Arial"/>
      <family val="2"/>
    </font>
    <font>
      <sz val="10"/>
      <color rgb="FF0070C0"/>
      <name val="돋움"/>
      <family val="3"/>
      <charset val="129"/>
    </font>
    <font>
      <b/>
      <sz val="14"/>
      <color theme="1"/>
      <name val="Arial"/>
      <family val="2"/>
    </font>
    <font>
      <b/>
      <i/>
      <sz val="14"/>
      <name val="Arial"/>
      <family val="2"/>
    </font>
    <font>
      <b/>
      <sz val="10"/>
      <color rgb="FF0070C0"/>
      <name val="Arial"/>
      <family val="2"/>
    </font>
    <font>
      <sz val="10"/>
      <name val="맑은 고딕"/>
      <family val="3"/>
      <charset val="129"/>
    </font>
    <font>
      <sz val="11"/>
      <color indexed="8"/>
      <name val="맑은 고딕"/>
      <family val="3"/>
      <charset val="129"/>
    </font>
    <font>
      <u/>
      <sz val="10"/>
      <name val="Arial"/>
      <family val="2"/>
    </font>
    <font>
      <b/>
      <sz val="10"/>
      <color rgb="FFFF0000"/>
      <name val="돋움"/>
      <family val="3"/>
      <charset val="129"/>
    </font>
    <font>
      <b/>
      <sz val="11"/>
      <color theme="1"/>
      <name val="Arial"/>
      <family val="2"/>
    </font>
    <font>
      <b/>
      <sz val="11"/>
      <name val="Arial"/>
      <family val="2"/>
    </font>
    <font>
      <b/>
      <sz val="16"/>
      <color theme="1"/>
      <name val="Arial"/>
      <family val="2"/>
    </font>
    <font>
      <b/>
      <sz val="16"/>
      <name val="Arial"/>
      <family val="2"/>
    </font>
    <font>
      <sz val="12"/>
      <name val="Arial"/>
      <family val="2"/>
    </font>
    <font>
      <sz val="11"/>
      <name val="Arial"/>
      <family val="2"/>
    </font>
    <font>
      <b/>
      <sz val="12"/>
      <color rgb="FF262626"/>
      <name val="Arial"/>
      <family val="2"/>
    </font>
    <font>
      <b/>
      <sz val="12"/>
      <name val="Arial"/>
      <family val="2"/>
    </font>
    <font>
      <sz val="11"/>
      <name val="Segoe UI Symbol"/>
      <family val="2"/>
    </font>
  </fonts>
  <fills count="21">
    <fill>
      <patternFill patternType="none"/>
    </fill>
    <fill>
      <patternFill patternType="gray125"/>
    </fill>
    <fill>
      <patternFill patternType="solid">
        <fgColor indexed="10"/>
        <bgColor indexed="64"/>
      </patternFill>
    </fill>
    <fill>
      <patternFill patternType="solid">
        <fgColor indexed="55"/>
        <bgColor indexed="64"/>
      </patternFill>
    </fill>
    <fill>
      <patternFill patternType="solid">
        <fgColor indexed="9"/>
        <bgColor indexed="64"/>
      </patternFill>
    </fill>
    <fill>
      <patternFill patternType="solid">
        <fgColor indexed="58"/>
        <bgColor indexed="64"/>
      </patternFill>
    </fill>
    <fill>
      <patternFill patternType="solid">
        <fgColor indexed="50"/>
        <bgColor indexed="64"/>
      </patternFill>
    </fill>
    <fill>
      <patternFill patternType="solid">
        <fgColor theme="0"/>
        <bgColor indexed="64"/>
      </patternFill>
    </fill>
    <fill>
      <patternFill patternType="solid">
        <fgColor indexed="31"/>
        <bgColor indexed="64"/>
      </patternFill>
    </fill>
    <fill>
      <patternFill patternType="solid">
        <fgColor indexed="2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6"/>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0.249977111117893"/>
        <bgColor indexed="64"/>
      </patternFill>
    </fill>
    <fill>
      <patternFill patternType="solid">
        <fgColor theme="5" tint="0.59999389629810485"/>
        <bgColor indexed="64"/>
      </patternFill>
    </fill>
  </fills>
  <borders count="7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top style="medium">
        <color indexed="64"/>
      </top>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style="medium">
        <color indexed="64"/>
      </right>
      <top/>
      <bottom/>
      <diagonal/>
    </border>
    <border>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s>
  <cellStyleXfs count="7">
    <xf numFmtId="0" fontId="0" fillId="0" borderId="0">
      <alignment vertical="center"/>
    </xf>
    <xf numFmtId="0" fontId="1" fillId="0" borderId="0">
      <alignment vertical="center"/>
    </xf>
    <xf numFmtId="0" fontId="7" fillId="0" borderId="0" applyBorder="0"/>
    <xf numFmtId="0" fontId="10" fillId="0" borderId="0" applyBorder="0"/>
    <xf numFmtId="0" fontId="7" fillId="0" borderId="0"/>
    <xf numFmtId="0" fontId="35" fillId="0" borderId="0">
      <alignment vertical="center"/>
    </xf>
    <xf numFmtId="0" fontId="1" fillId="0" borderId="0">
      <alignment vertical="center"/>
    </xf>
  </cellStyleXfs>
  <cellXfs count="565">
    <xf numFmtId="0" fontId="0" fillId="0" borderId="0" xfId="0">
      <alignment vertical="center"/>
    </xf>
    <xf numFmtId="0" fontId="2" fillId="2" borderId="0" xfId="1" applyFont="1" applyFill="1">
      <alignment vertical="center"/>
    </xf>
    <xf numFmtId="0" fontId="1" fillId="0" borderId="0" xfId="1">
      <alignment vertical="center"/>
    </xf>
    <xf numFmtId="0" fontId="1" fillId="3" borderId="0" xfId="1" applyFill="1">
      <alignment vertical="center"/>
    </xf>
    <xf numFmtId="0" fontId="8" fillId="4" borderId="0" xfId="2" applyFont="1" applyFill="1" applyAlignment="1">
      <alignment vertical="center"/>
    </xf>
    <xf numFmtId="164" fontId="9" fillId="6" borderId="4" xfId="3" applyNumberFormat="1" applyFont="1" applyFill="1" applyBorder="1" applyAlignment="1">
      <alignment vertical="center" shrinkToFit="1"/>
    </xf>
    <xf numFmtId="0" fontId="9" fillId="6" borderId="8" xfId="3" applyFont="1" applyFill="1" applyBorder="1" applyAlignment="1">
      <alignment vertical="center"/>
    </xf>
    <xf numFmtId="164" fontId="9" fillId="6" borderId="10" xfId="3" applyNumberFormat="1" applyFont="1" applyFill="1" applyBorder="1" applyAlignment="1">
      <alignment vertical="center" shrinkToFit="1"/>
    </xf>
    <xf numFmtId="0" fontId="9" fillId="6" borderId="14" xfId="3" applyFont="1" applyFill="1" applyBorder="1" applyAlignment="1">
      <alignment vertical="center"/>
    </xf>
    <xf numFmtId="0" fontId="9" fillId="6" borderId="16" xfId="3" applyFont="1" applyFill="1" applyBorder="1" applyAlignment="1">
      <alignment vertical="center" shrinkToFit="1"/>
    </xf>
    <xf numFmtId="0" fontId="9" fillId="6" borderId="20" xfId="3" applyFont="1" applyFill="1" applyBorder="1" applyAlignment="1">
      <alignment vertical="center"/>
    </xf>
    <xf numFmtId="164" fontId="9" fillId="4" borderId="0" xfId="3" applyNumberFormat="1" applyFont="1" applyFill="1" applyAlignment="1">
      <alignment vertical="center"/>
    </xf>
    <xf numFmtId="165" fontId="9" fillId="4" borderId="0" xfId="3" applyNumberFormat="1" applyFont="1" applyFill="1" applyAlignment="1">
      <alignment horizontal="center" vertical="center"/>
    </xf>
    <xf numFmtId="0" fontId="9" fillId="4" borderId="0" xfId="3" applyFont="1" applyFill="1" applyAlignment="1">
      <alignment vertical="center"/>
    </xf>
    <xf numFmtId="164" fontId="14" fillId="6" borderId="34" xfId="3" applyNumberFormat="1" applyFont="1" applyFill="1" applyBorder="1" applyAlignment="1">
      <alignment horizontal="center" vertical="center"/>
    </xf>
    <xf numFmtId="165" fontId="14" fillId="6" borderId="35" xfId="3" applyNumberFormat="1" applyFont="1" applyFill="1" applyBorder="1" applyAlignment="1">
      <alignment horizontal="center" vertical="center"/>
    </xf>
    <xf numFmtId="0" fontId="14" fillId="6" borderId="35" xfId="3" applyFont="1" applyFill="1" applyBorder="1" applyAlignment="1">
      <alignment horizontal="center" vertical="center"/>
    </xf>
    <xf numFmtId="0" fontId="14" fillId="6" borderId="36" xfId="3" applyFont="1" applyFill="1" applyBorder="1" applyAlignment="1">
      <alignment horizontal="center" vertical="center"/>
    </xf>
    <xf numFmtId="164" fontId="9" fillId="4" borderId="10" xfId="3" applyNumberFormat="1" applyFont="1" applyFill="1" applyBorder="1" applyAlignment="1">
      <alignment horizontal="center" vertical="center"/>
    </xf>
    <xf numFmtId="14" fontId="9" fillId="4" borderId="14" xfId="3" applyNumberFormat="1" applyFont="1" applyFill="1" applyBorder="1" applyAlignment="1">
      <alignment horizontal="center" vertical="top"/>
    </xf>
    <xf numFmtId="0" fontId="9" fillId="4" borderId="14" xfId="3" applyFont="1" applyFill="1" applyBorder="1" applyAlignment="1">
      <alignment horizontal="center" vertical="center" wrapText="1"/>
    </xf>
    <xf numFmtId="0" fontId="9" fillId="4" borderId="9" xfId="3" applyFont="1" applyFill="1" applyBorder="1" applyAlignment="1">
      <alignment horizontal="center" vertical="center"/>
    </xf>
    <xf numFmtId="14" fontId="9" fillId="4" borderId="14" xfId="3" applyNumberFormat="1" applyFont="1" applyFill="1" applyBorder="1" applyAlignment="1">
      <alignment horizontal="center" vertical="center"/>
    </xf>
    <xf numFmtId="0" fontId="1" fillId="0" borderId="15" xfId="1" applyBorder="1">
      <alignment vertical="center"/>
    </xf>
    <xf numFmtId="164" fontId="9" fillId="4" borderId="43" xfId="3" applyNumberFormat="1" applyFont="1" applyFill="1" applyBorder="1" applyAlignment="1">
      <alignment horizontal="center" vertical="center"/>
    </xf>
    <xf numFmtId="14" fontId="9" fillId="4" borderId="44" xfId="3" applyNumberFormat="1" applyFont="1" applyFill="1" applyBorder="1" applyAlignment="1">
      <alignment horizontal="center" vertical="center"/>
    </xf>
    <xf numFmtId="0" fontId="9" fillId="4" borderId="44" xfId="3" applyFont="1" applyFill="1" applyBorder="1" applyAlignment="1">
      <alignment horizontal="center" vertical="center" wrapText="1"/>
    </xf>
    <xf numFmtId="0" fontId="1" fillId="0" borderId="45" xfId="1" applyBorder="1">
      <alignment vertical="center"/>
    </xf>
    <xf numFmtId="164" fontId="9" fillId="6" borderId="10" xfId="3" applyNumberFormat="1" applyFont="1" applyFill="1" applyBorder="1" applyAlignment="1">
      <alignment horizontal="center" vertical="center" wrapText="1" shrinkToFit="1"/>
    </xf>
    <xf numFmtId="164" fontId="9" fillId="6" borderId="14" xfId="3" applyNumberFormat="1" applyFont="1" applyFill="1" applyBorder="1" applyAlignment="1">
      <alignment horizontal="center" vertical="center" shrinkToFit="1"/>
    </xf>
    <xf numFmtId="0" fontId="9" fillId="6" borderId="14" xfId="3" applyFont="1" applyFill="1" applyBorder="1" applyAlignment="1">
      <alignment horizontal="center" vertical="center"/>
    </xf>
    <xf numFmtId="0" fontId="9" fillId="6" borderId="15" xfId="3" applyFont="1" applyFill="1" applyBorder="1" applyAlignment="1">
      <alignment horizontal="center" vertical="center"/>
    </xf>
    <xf numFmtId="0" fontId="13" fillId="0" borderId="10" xfId="1" applyFont="1" applyBorder="1" applyAlignment="1">
      <alignment horizontal="center" vertical="center"/>
    </xf>
    <xf numFmtId="0" fontId="13" fillId="0" borderId="14" xfId="1" applyFont="1" applyBorder="1" applyAlignment="1">
      <alignment horizontal="center" vertical="center"/>
    </xf>
    <xf numFmtId="0" fontId="13" fillId="0" borderId="15" xfId="1" applyFont="1" applyBorder="1" applyAlignment="1">
      <alignment horizontal="center" vertical="center"/>
    </xf>
    <xf numFmtId="0" fontId="13" fillId="0" borderId="11" xfId="1" applyFont="1" applyBorder="1" applyAlignment="1">
      <alignment horizontal="center" vertical="center"/>
    </xf>
    <xf numFmtId="0" fontId="13" fillId="0" borderId="16" xfId="1" applyFont="1" applyBorder="1" applyAlignment="1">
      <alignment horizontal="center" vertical="center"/>
    </xf>
    <xf numFmtId="0" fontId="13" fillId="0" borderId="20" xfId="1" applyFont="1" applyBorder="1" applyAlignment="1">
      <alignment horizontal="center" vertical="center"/>
    </xf>
    <xf numFmtId="0" fontId="13" fillId="0" borderId="21" xfId="1" applyFont="1" applyBorder="1" applyAlignment="1">
      <alignment horizontal="center" vertical="center"/>
    </xf>
    <xf numFmtId="164" fontId="9" fillId="6" borderId="14" xfId="3" applyNumberFormat="1" applyFont="1" applyFill="1" applyBorder="1" applyAlignment="1">
      <alignment horizontal="center" vertical="center" wrapText="1" shrinkToFit="1"/>
    </xf>
    <xf numFmtId="164" fontId="9" fillId="6" borderId="15" xfId="3" applyNumberFormat="1" applyFont="1" applyFill="1" applyBorder="1" applyAlignment="1">
      <alignment horizontal="center" vertical="center" wrapText="1" shrinkToFit="1"/>
    </xf>
    <xf numFmtId="164" fontId="9" fillId="6" borderId="16" xfId="3" applyNumberFormat="1" applyFont="1" applyFill="1" applyBorder="1" applyAlignment="1">
      <alignment horizontal="center" vertical="center" wrapText="1" shrinkToFit="1"/>
    </xf>
    <xf numFmtId="0" fontId="15" fillId="0" borderId="0" xfId="1" applyFont="1">
      <alignment vertical="center"/>
    </xf>
    <xf numFmtId="0" fontId="13" fillId="7" borderId="14" xfId="1" applyFont="1" applyFill="1" applyBorder="1" applyAlignment="1">
      <alignment horizontal="center" vertical="center"/>
    </xf>
    <xf numFmtId="0" fontId="13" fillId="0" borderId="38" xfId="1" applyFont="1" applyBorder="1" applyAlignment="1">
      <alignment horizontal="center" vertical="center"/>
    </xf>
    <xf numFmtId="0" fontId="16" fillId="7" borderId="14" xfId="1" applyFont="1" applyFill="1" applyBorder="1" applyAlignment="1">
      <alignment horizontal="center" vertical="center"/>
    </xf>
    <xf numFmtId="0" fontId="16" fillId="0" borderId="14" xfId="1" applyFont="1" applyBorder="1" applyAlignment="1">
      <alignment horizontal="center" vertical="center"/>
    </xf>
    <xf numFmtId="164" fontId="9" fillId="6" borderId="38" xfId="3" applyNumberFormat="1" applyFont="1" applyFill="1" applyBorder="1" applyAlignment="1">
      <alignment horizontal="center" vertical="center" wrapText="1" shrinkToFit="1"/>
    </xf>
    <xf numFmtId="164" fontId="9" fillId="6" borderId="38" xfId="3" applyNumberFormat="1" applyFont="1" applyFill="1" applyBorder="1" applyAlignment="1">
      <alignment horizontal="center" vertical="center" shrinkToFit="1"/>
    </xf>
    <xf numFmtId="0" fontId="9" fillId="6" borderId="38" xfId="3" applyFont="1" applyFill="1" applyBorder="1" applyAlignment="1">
      <alignment horizontal="center" vertical="center"/>
    </xf>
    <xf numFmtId="0" fontId="13" fillId="0" borderId="0" xfId="1" applyFont="1" applyAlignment="1">
      <alignment horizontal="center" vertical="center"/>
    </xf>
    <xf numFmtId="0" fontId="13" fillId="7" borderId="27" xfId="1" applyFont="1" applyFill="1" applyBorder="1" applyAlignment="1">
      <alignment horizontal="center" vertical="center"/>
    </xf>
    <xf numFmtId="0" fontId="13" fillId="0" borderId="26" xfId="1" applyFont="1" applyBorder="1" applyAlignment="1">
      <alignment horizontal="center" vertical="center"/>
    </xf>
    <xf numFmtId="0" fontId="13" fillId="0" borderId="41" xfId="1" applyFont="1" applyBorder="1" applyAlignment="1">
      <alignment horizontal="center" vertical="center"/>
    </xf>
    <xf numFmtId="0" fontId="13" fillId="0" borderId="40" xfId="1" applyFont="1" applyBorder="1" applyAlignment="1">
      <alignment horizontal="center" vertical="center"/>
    </xf>
    <xf numFmtId="0" fontId="13" fillId="0" borderId="42" xfId="1" applyFont="1" applyBorder="1" applyAlignment="1">
      <alignment horizontal="center" vertical="center"/>
    </xf>
    <xf numFmtId="0" fontId="13" fillId="0" borderId="27" xfId="1" applyFont="1" applyBorder="1" applyAlignment="1">
      <alignment horizontal="center" vertical="center"/>
    </xf>
    <xf numFmtId="0" fontId="13" fillId="0" borderId="5" xfId="1" applyFont="1" applyBorder="1" applyAlignment="1">
      <alignment horizontal="center" vertical="center"/>
    </xf>
    <xf numFmtId="0" fontId="13" fillId="0" borderId="8" xfId="1" applyFont="1" applyBorder="1" applyAlignment="1">
      <alignment horizontal="center" vertical="center"/>
    </xf>
    <xf numFmtId="0" fontId="13" fillId="0" borderId="7" xfId="1" applyFont="1" applyBorder="1" applyAlignment="1">
      <alignment horizontal="center" vertical="center"/>
    </xf>
    <xf numFmtId="0" fontId="13" fillId="0" borderId="5" xfId="1" applyFont="1" applyBorder="1" applyAlignment="1">
      <alignment horizontal="center" vertical="center" wrapText="1"/>
    </xf>
    <xf numFmtId="0" fontId="13" fillId="0" borderId="8" xfId="1" applyFont="1" applyBorder="1" applyAlignment="1">
      <alignment horizontal="center" vertical="center" wrapText="1"/>
    </xf>
    <xf numFmtId="0" fontId="13" fillId="0" borderId="7" xfId="1" applyFont="1" applyBorder="1" applyAlignment="1">
      <alignment horizontal="center" vertical="center" wrapText="1"/>
    </xf>
    <xf numFmtId="0" fontId="13" fillId="0" borderId="13" xfId="1" applyFont="1" applyBorder="1" applyAlignment="1">
      <alignment horizontal="center" vertical="center"/>
    </xf>
    <xf numFmtId="0" fontId="7" fillId="0" borderId="0" xfId="1" applyFont="1">
      <alignment vertical="center"/>
    </xf>
    <xf numFmtId="0" fontId="18" fillId="0" borderId="0" xfId="1" applyFont="1">
      <alignment vertical="center"/>
    </xf>
    <xf numFmtId="0" fontId="7" fillId="0" borderId="0" xfId="1" applyFont="1" applyAlignment="1">
      <alignment horizontal="center" vertical="center"/>
    </xf>
    <xf numFmtId="0" fontId="19" fillId="0" borderId="0" xfId="1" quotePrefix="1" applyFont="1">
      <alignment vertical="center"/>
    </xf>
    <xf numFmtId="0" fontId="20" fillId="0" borderId="0" xfId="1" quotePrefix="1" applyFont="1">
      <alignment vertical="center"/>
    </xf>
    <xf numFmtId="0" fontId="21" fillId="9" borderId="34" xfId="1" applyFont="1" applyFill="1" applyBorder="1" applyAlignment="1">
      <alignment horizontal="center" vertical="center" wrapText="1"/>
    </xf>
    <xf numFmtId="0" fontId="21" fillId="9" borderId="49" xfId="1" applyFont="1" applyFill="1" applyBorder="1" applyAlignment="1">
      <alignment horizontal="center" vertical="center" wrapText="1"/>
    </xf>
    <xf numFmtId="0" fontId="21" fillId="9" borderId="49" xfId="1" applyFont="1" applyFill="1" applyBorder="1" applyAlignment="1">
      <alignment horizontal="center" vertical="center"/>
    </xf>
    <xf numFmtId="0" fontId="21" fillId="9" borderId="50" xfId="1" applyFont="1" applyFill="1" applyBorder="1" applyAlignment="1">
      <alignment horizontal="center" vertical="center"/>
    </xf>
    <xf numFmtId="49" fontId="21" fillId="9" borderId="49" xfId="1" applyNumberFormat="1" applyFont="1" applyFill="1" applyBorder="1" applyAlignment="1">
      <alignment horizontal="center" vertical="center"/>
    </xf>
    <xf numFmtId="0" fontId="21" fillId="9" borderId="51" xfId="1" applyFont="1" applyFill="1" applyBorder="1" applyAlignment="1">
      <alignment horizontal="center" vertical="center"/>
    </xf>
    <xf numFmtId="0" fontId="7" fillId="7" borderId="53" xfId="1" applyFont="1" applyFill="1" applyBorder="1" applyAlignment="1">
      <alignment horizontal="center" vertical="center" wrapText="1"/>
    </xf>
    <xf numFmtId="0" fontId="7" fillId="7" borderId="35" xfId="1" applyFont="1" applyFill="1" applyBorder="1" applyAlignment="1">
      <alignment horizontal="center" vertical="center" wrapText="1"/>
    </xf>
    <xf numFmtId="49" fontId="7" fillId="7" borderId="35" xfId="1" applyNumberFormat="1" applyFont="1" applyFill="1" applyBorder="1" applyAlignment="1">
      <alignment horizontal="center" vertical="center"/>
    </xf>
    <xf numFmtId="0" fontId="7" fillId="7" borderId="24" xfId="1" applyFont="1" applyFill="1" applyBorder="1" applyAlignment="1">
      <alignment horizontal="center" vertical="center" wrapText="1"/>
    </xf>
    <xf numFmtId="0" fontId="7" fillId="7" borderId="14" xfId="1" applyFont="1" applyFill="1" applyBorder="1" applyAlignment="1">
      <alignment horizontal="center" vertical="center" wrapText="1"/>
    </xf>
    <xf numFmtId="0" fontId="7" fillId="7" borderId="14" xfId="1" applyFont="1" applyFill="1" applyBorder="1" applyAlignment="1">
      <alignment horizontal="center" vertical="center"/>
    </xf>
    <xf numFmtId="49" fontId="7" fillId="7" borderId="14" xfId="1" applyNumberFormat="1" applyFont="1" applyFill="1" applyBorder="1" applyAlignment="1">
      <alignment horizontal="center" vertical="center"/>
    </xf>
    <xf numFmtId="0" fontId="7" fillId="7" borderId="24" xfId="1" applyFont="1" applyFill="1" applyBorder="1" applyAlignment="1">
      <alignment horizontal="center" vertical="center"/>
    </xf>
    <xf numFmtId="0" fontId="7" fillId="7" borderId="8" xfId="1" applyFont="1" applyFill="1" applyBorder="1" applyAlignment="1">
      <alignment horizontal="center" vertical="center" wrapText="1"/>
    </xf>
    <xf numFmtId="0" fontId="7" fillId="7" borderId="38" xfId="1" applyFont="1" applyFill="1" applyBorder="1" applyAlignment="1">
      <alignment horizontal="center" vertical="center"/>
    </xf>
    <xf numFmtId="0" fontId="7" fillId="7" borderId="14" xfId="1" applyFont="1" applyFill="1" applyBorder="1" applyAlignment="1">
      <alignment horizontal="left" vertical="center"/>
    </xf>
    <xf numFmtId="0" fontId="7" fillId="7" borderId="14" xfId="1" applyFont="1" applyFill="1" applyBorder="1" applyAlignment="1">
      <alignment vertical="center" wrapText="1"/>
    </xf>
    <xf numFmtId="0" fontId="23" fillId="7" borderId="14" xfId="1" applyFont="1" applyFill="1" applyBorder="1" applyAlignment="1">
      <alignment horizontal="center" vertical="center" wrapText="1"/>
    </xf>
    <xf numFmtId="0" fontId="7" fillId="0" borderId="11" xfId="1" applyFont="1" applyBorder="1" applyAlignment="1">
      <alignment horizontal="left" vertical="center"/>
    </xf>
    <xf numFmtId="0" fontId="7" fillId="10" borderId="24" xfId="1" applyFont="1" applyFill="1" applyBorder="1" applyAlignment="1">
      <alignment horizontal="center" vertical="center"/>
    </xf>
    <xf numFmtId="0" fontId="7" fillId="10" borderId="38" xfId="1" applyFont="1" applyFill="1" applyBorder="1" applyAlignment="1">
      <alignment horizontal="center" vertical="center"/>
    </xf>
    <xf numFmtId="0" fontId="7" fillId="10" borderId="14" xfId="1" applyFont="1" applyFill="1" applyBorder="1" applyAlignment="1">
      <alignment horizontal="left" vertical="center"/>
    </xf>
    <xf numFmtId="49" fontId="7" fillId="10" borderId="14" xfId="1" applyNumberFormat="1" applyFont="1" applyFill="1" applyBorder="1" applyAlignment="1">
      <alignment horizontal="center" vertical="center"/>
    </xf>
    <xf numFmtId="0" fontId="7" fillId="10" borderId="14" xfId="1" applyFont="1" applyFill="1" applyBorder="1" applyAlignment="1">
      <alignment horizontal="center" vertical="center" wrapText="1"/>
    </xf>
    <xf numFmtId="0" fontId="7" fillId="10" borderId="14" xfId="1" applyFont="1" applyFill="1" applyBorder="1" applyAlignment="1">
      <alignment vertical="center" wrapText="1"/>
    </xf>
    <xf numFmtId="0" fontId="7" fillId="7" borderId="11" xfId="1" applyFont="1" applyFill="1" applyBorder="1" applyAlignment="1">
      <alignment horizontal="left" vertical="center"/>
    </xf>
    <xf numFmtId="0" fontId="7" fillId="7" borderId="55" xfId="1" applyFont="1" applyFill="1" applyBorder="1" applyAlignment="1">
      <alignment horizontal="center" vertical="center"/>
    </xf>
    <xf numFmtId="0" fontId="7" fillId="7" borderId="15" xfId="1" applyFont="1" applyFill="1" applyBorder="1" applyAlignment="1">
      <alignment horizontal="left" vertical="center"/>
    </xf>
    <xf numFmtId="0" fontId="7" fillId="7" borderId="56" xfId="1" applyFont="1" applyFill="1" applyBorder="1" applyAlignment="1">
      <alignment horizontal="center" vertical="center"/>
    </xf>
    <xf numFmtId="0" fontId="7" fillId="7" borderId="40" xfId="1" applyFont="1" applyFill="1" applyBorder="1" applyAlignment="1">
      <alignment horizontal="center" vertical="center"/>
    </xf>
    <xf numFmtId="0" fontId="7" fillId="7" borderId="8" xfId="1" applyFont="1" applyFill="1" applyBorder="1" applyAlignment="1">
      <alignment horizontal="left" vertical="center"/>
    </xf>
    <xf numFmtId="49" fontId="7" fillId="7" borderId="8" xfId="1" applyNumberFormat="1" applyFont="1" applyFill="1" applyBorder="1" applyAlignment="1">
      <alignment horizontal="center" vertical="center"/>
    </xf>
    <xf numFmtId="0" fontId="7" fillId="7" borderId="8" xfId="1" applyFont="1" applyFill="1" applyBorder="1" applyAlignment="1">
      <alignment vertical="center" wrapText="1"/>
    </xf>
    <xf numFmtId="0" fontId="7" fillId="7" borderId="29" xfId="1" applyFont="1" applyFill="1" applyBorder="1" applyAlignment="1">
      <alignment horizontal="center" vertical="center"/>
    </xf>
    <xf numFmtId="0" fontId="7" fillId="7" borderId="44" xfId="1" applyFont="1" applyFill="1" applyBorder="1" applyAlignment="1">
      <alignment horizontal="center" vertical="center"/>
    </xf>
    <xf numFmtId="0" fontId="7" fillId="7" borderId="32" xfId="1" applyFont="1" applyFill="1" applyBorder="1" applyAlignment="1">
      <alignment horizontal="left" vertical="center"/>
    </xf>
    <xf numFmtId="49" fontId="7" fillId="7" borderId="44" xfId="1" applyNumberFormat="1" applyFont="1" applyFill="1" applyBorder="1" applyAlignment="1">
      <alignment horizontal="center" vertical="center"/>
    </xf>
    <xf numFmtId="0" fontId="7" fillId="7" borderId="44" xfId="1" applyFont="1" applyFill="1" applyBorder="1" applyAlignment="1">
      <alignment horizontal="center" vertical="center" wrapText="1"/>
    </xf>
    <xf numFmtId="0" fontId="7" fillId="7" borderId="45" xfId="1" applyFont="1" applyFill="1" applyBorder="1" applyAlignment="1">
      <alignment horizontal="left" vertical="center"/>
    </xf>
    <xf numFmtId="0" fontId="7" fillId="0" borderId="35" xfId="1" applyFont="1" applyBorder="1" applyAlignment="1">
      <alignment horizontal="center" vertical="center"/>
    </xf>
    <xf numFmtId="0" fontId="7" fillId="0" borderId="35" xfId="1" applyFont="1" applyBorder="1">
      <alignment vertical="center"/>
    </xf>
    <xf numFmtId="0" fontId="7" fillId="0" borderId="36" xfId="1" applyFont="1" applyBorder="1" applyAlignment="1">
      <alignment vertical="center" wrapText="1"/>
    </xf>
    <xf numFmtId="0" fontId="7" fillId="0" borderId="11" xfId="1" applyFont="1" applyBorder="1" applyAlignment="1">
      <alignment horizontal="center" vertical="center"/>
    </xf>
    <xf numFmtId="0" fontId="7" fillId="0" borderId="14" xfId="1" applyFont="1" applyBorder="1" applyAlignment="1">
      <alignment horizontal="center" vertical="center"/>
    </xf>
    <xf numFmtId="0" fontId="7" fillId="0" borderId="14" xfId="1" applyFont="1" applyBorder="1" applyAlignment="1">
      <alignment horizontal="center" vertical="center" wrapText="1"/>
    </xf>
    <xf numFmtId="0" fontId="7" fillId="0" borderId="14" xfId="1" applyFont="1" applyBorder="1">
      <alignment vertical="center"/>
    </xf>
    <xf numFmtId="0" fontId="7" fillId="0" borderId="15" xfId="1" applyFont="1" applyBorder="1" applyAlignment="1">
      <alignment vertical="center" wrapText="1"/>
    </xf>
    <xf numFmtId="0" fontId="7" fillId="0" borderId="14" xfId="1" applyFont="1" applyBorder="1" applyAlignment="1">
      <alignment horizontal="left" vertical="center"/>
    </xf>
    <xf numFmtId="0" fontId="25" fillId="0" borderId="15" xfId="1" applyFont="1" applyBorder="1" applyAlignment="1">
      <alignment horizontal="left" vertical="center" wrapText="1"/>
    </xf>
    <xf numFmtId="0" fontId="7" fillId="11" borderId="14" xfId="1" applyFont="1" applyFill="1" applyBorder="1" applyAlignment="1">
      <alignment horizontal="left" vertical="center"/>
    </xf>
    <xf numFmtId="0" fontId="25" fillId="11" borderId="15" xfId="1" applyFont="1" applyFill="1" applyBorder="1" applyAlignment="1">
      <alignment horizontal="left" vertical="center" wrapText="1"/>
    </xf>
    <xf numFmtId="0" fontId="23" fillId="0" borderId="15" xfId="1" quotePrefix="1" applyFont="1" applyBorder="1" applyAlignment="1">
      <alignment vertical="center" wrapText="1"/>
    </xf>
    <xf numFmtId="0" fontId="23" fillId="0" borderId="15" xfId="1" applyFont="1" applyBorder="1" applyAlignment="1">
      <alignment horizontal="left" vertical="center" wrapText="1"/>
    </xf>
    <xf numFmtId="0" fontId="7" fillId="0" borderId="15" xfId="1" applyFont="1" applyBorder="1" applyAlignment="1">
      <alignment horizontal="left" vertical="center" wrapText="1"/>
    </xf>
    <xf numFmtId="49" fontId="7" fillId="0" borderId="14" xfId="1" applyNumberFormat="1" applyFont="1" applyBorder="1" applyAlignment="1">
      <alignment horizontal="center" vertical="center"/>
    </xf>
    <xf numFmtId="0" fontId="7" fillId="0" borderId="17" xfId="1" applyFont="1" applyBorder="1" applyAlignment="1">
      <alignment horizontal="center" vertical="center"/>
    </xf>
    <xf numFmtId="0" fontId="7" fillId="0" borderId="20" xfId="1" applyFont="1" applyBorder="1" applyAlignment="1">
      <alignment horizontal="center" vertical="center"/>
    </xf>
    <xf numFmtId="0" fontId="7" fillId="0" borderId="20" xfId="1" applyFont="1" applyBorder="1" applyAlignment="1">
      <alignment horizontal="left" vertical="center"/>
    </xf>
    <xf numFmtId="49" fontId="7" fillId="0" borderId="20" xfId="1" applyNumberFormat="1" applyFont="1" applyBorder="1" applyAlignment="1">
      <alignment horizontal="center" vertical="center"/>
    </xf>
    <xf numFmtId="0" fontId="7" fillId="0" borderId="21" xfId="1" applyFont="1" applyBorder="1" applyAlignment="1">
      <alignment horizontal="left" vertical="center"/>
    </xf>
    <xf numFmtId="0" fontId="7" fillId="0" borderId="50" xfId="1" applyFont="1" applyBorder="1" applyAlignment="1">
      <alignment horizontal="center" vertical="center"/>
    </xf>
    <xf numFmtId="0" fontId="7" fillId="0" borderId="38" xfId="1" applyFont="1" applyBorder="1" applyAlignment="1">
      <alignment horizontal="center" vertical="center"/>
    </xf>
    <xf numFmtId="0" fontId="7" fillId="0" borderId="35" xfId="1" applyFont="1" applyBorder="1" applyAlignment="1">
      <alignment horizontal="left" vertical="center"/>
    </xf>
    <xf numFmtId="49" fontId="7" fillId="0" borderId="35" xfId="1" applyNumberFormat="1" applyFont="1" applyBorder="1" applyAlignment="1">
      <alignment horizontal="center" vertical="center"/>
    </xf>
    <xf numFmtId="0" fontId="7" fillId="0" borderId="35" xfId="1" quotePrefix="1" applyFont="1" applyBorder="1" applyAlignment="1">
      <alignment horizontal="center" vertical="center"/>
    </xf>
    <xf numFmtId="0" fontId="7" fillId="0" borderId="36" xfId="1" quotePrefix="1" applyFont="1" applyBorder="1" applyAlignment="1">
      <alignment vertical="center" wrapText="1"/>
    </xf>
    <xf numFmtId="49" fontId="7" fillId="0" borderId="38" xfId="1" applyNumberFormat="1" applyFont="1" applyBorder="1" applyAlignment="1">
      <alignment horizontal="center" vertical="center"/>
    </xf>
    <xf numFmtId="0" fontId="27" fillId="0" borderId="15" xfId="1" quotePrefix="1" applyFont="1" applyBorder="1" applyAlignment="1">
      <alignment vertical="center" wrapText="1"/>
    </xf>
    <xf numFmtId="0" fontId="7" fillId="10" borderId="14" xfId="1" applyFont="1" applyFill="1" applyBorder="1">
      <alignment vertical="center"/>
    </xf>
    <xf numFmtId="0" fontId="23" fillId="10" borderId="15" xfId="1" quotePrefix="1" applyFont="1" applyFill="1" applyBorder="1" applyAlignment="1">
      <alignment vertical="center" wrapText="1"/>
    </xf>
    <xf numFmtId="0" fontId="7" fillId="0" borderId="14" xfId="1" applyFont="1" applyBorder="1" applyAlignment="1">
      <alignment horizontal="left" vertical="center" wrapText="1"/>
    </xf>
    <xf numFmtId="0" fontId="7" fillId="0" borderId="14" xfId="1" quotePrefix="1" applyFont="1" applyBorder="1" applyAlignment="1">
      <alignment horizontal="center" vertical="center"/>
    </xf>
    <xf numFmtId="0" fontId="7" fillId="0" borderId="15" xfId="1" applyFont="1" applyBorder="1" applyAlignment="1">
      <alignment horizontal="left" vertical="center"/>
    </xf>
    <xf numFmtId="0" fontId="7" fillId="0" borderId="38" xfId="1" applyFont="1" applyBorder="1" applyAlignment="1">
      <alignment horizontal="left" vertical="center"/>
    </xf>
    <xf numFmtId="0" fontId="7" fillId="7" borderId="14" xfId="1" applyFont="1" applyFill="1" applyBorder="1">
      <alignment vertical="center"/>
    </xf>
    <xf numFmtId="0" fontId="7" fillId="11" borderId="11" xfId="1" applyFont="1" applyFill="1" applyBorder="1" applyAlignment="1">
      <alignment horizontal="left" vertical="center"/>
    </xf>
    <xf numFmtId="49" fontId="7" fillId="11" borderId="14" xfId="1" applyNumberFormat="1" applyFont="1" applyFill="1" applyBorder="1" applyAlignment="1">
      <alignment horizontal="center" vertical="center"/>
    </xf>
    <xf numFmtId="0" fontId="7" fillId="11" borderId="14" xfId="1" applyFont="1" applyFill="1" applyBorder="1" applyAlignment="1">
      <alignment horizontal="center" vertical="center"/>
    </xf>
    <xf numFmtId="0" fontId="7" fillId="11" borderId="15" xfId="1" applyFont="1" applyFill="1" applyBorder="1" applyAlignment="1">
      <alignment vertical="center" wrapText="1"/>
    </xf>
    <xf numFmtId="0" fontId="7" fillId="0" borderId="48" xfId="1" applyFont="1" applyBorder="1" applyAlignment="1">
      <alignment vertical="center" wrapText="1"/>
    </xf>
    <xf numFmtId="0" fontId="29" fillId="0" borderId="60" xfId="1" applyFont="1" applyBorder="1" applyAlignment="1">
      <alignment vertical="center" wrapText="1"/>
    </xf>
    <xf numFmtId="0" fontId="24" fillId="0" borderId="9" xfId="1" applyFont="1" applyBorder="1" applyAlignment="1">
      <alignment vertical="center" wrapText="1"/>
    </xf>
    <xf numFmtId="0" fontId="7" fillId="0" borderId="60" xfId="1" applyFont="1" applyBorder="1" applyAlignment="1">
      <alignment vertical="center" wrapText="1"/>
    </xf>
    <xf numFmtId="0" fontId="29" fillId="0" borderId="9" xfId="1" applyFont="1" applyBorder="1" applyAlignment="1">
      <alignment vertical="center" wrapText="1"/>
    </xf>
    <xf numFmtId="0" fontId="7" fillId="0" borderId="21" xfId="1" applyFont="1" applyBorder="1" applyAlignment="1">
      <alignment vertical="center" wrapText="1"/>
    </xf>
    <xf numFmtId="0" fontId="31" fillId="0" borderId="59" xfId="1" quotePrefix="1" applyFont="1" applyBorder="1">
      <alignment vertical="center"/>
    </xf>
    <xf numFmtId="0" fontId="31" fillId="0" borderId="61" xfId="1" quotePrefix="1" applyFont="1" applyBorder="1">
      <alignment vertical="center"/>
    </xf>
    <xf numFmtId="0" fontId="7" fillId="0" borderId="15" xfId="1" applyFont="1" applyBorder="1">
      <alignment vertical="center"/>
    </xf>
    <xf numFmtId="0" fontId="7" fillId="7" borderId="11" xfId="1" applyFont="1" applyFill="1" applyBorder="1" applyAlignment="1">
      <alignment horizontal="center" vertical="center"/>
    </xf>
    <xf numFmtId="49" fontId="7" fillId="0" borderId="14" xfId="1" applyNumberFormat="1" applyFont="1" applyBorder="1" applyAlignment="1">
      <alignment horizontal="center" vertical="center" wrapText="1"/>
    </xf>
    <xf numFmtId="0" fontId="21" fillId="0" borderId="14" xfId="1" applyFont="1" applyBorder="1" applyAlignment="1">
      <alignment horizontal="center" vertical="center"/>
    </xf>
    <xf numFmtId="49" fontId="26" fillId="0" borderId="14" xfId="1" applyNumberFormat="1" applyFont="1" applyBorder="1" applyAlignment="1">
      <alignment horizontal="center" vertical="center"/>
    </xf>
    <xf numFmtId="0" fontId="7" fillId="0" borderId="0" xfId="1" applyFont="1" applyAlignment="1">
      <alignment horizontal="center" vertical="center" wrapText="1"/>
    </xf>
    <xf numFmtId="0" fontId="20" fillId="0" borderId="53" xfId="1" quotePrefix="1" applyFont="1" applyBorder="1">
      <alignment vertical="center"/>
    </xf>
    <xf numFmtId="0" fontId="7" fillId="0" borderId="62" xfId="1" applyFont="1" applyBorder="1" applyAlignment="1">
      <alignment horizontal="center" vertical="center"/>
    </xf>
    <xf numFmtId="0" fontId="7" fillId="0" borderId="62" xfId="1" applyFont="1" applyBorder="1">
      <alignment vertical="center"/>
    </xf>
    <xf numFmtId="0" fontId="7" fillId="0" borderId="63" xfId="1" applyFont="1" applyBorder="1">
      <alignment vertical="center"/>
    </xf>
    <xf numFmtId="0" fontId="20" fillId="0" borderId="56" xfId="1" quotePrefix="1" applyFont="1" applyBorder="1">
      <alignment vertical="center"/>
    </xf>
    <xf numFmtId="0" fontId="7" fillId="0" borderId="64" xfId="1" applyFont="1" applyBorder="1">
      <alignment vertical="center"/>
    </xf>
    <xf numFmtId="0" fontId="32" fillId="0" borderId="56" xfId="1" quotePrefix="1" applyFont="1" applyBorder="1" applyAlignment="1">
      <alignment horizontal="right" vertical="center"/>
    </xf>
    <xf numFmtId="0" fontId="21" fillId="9" borderId="35" xfId="1" applyFont="1" applyFill="1" applyBorder="1" applyAlignment="1">
      <alignment horizontal="center" vertical="center" wrapText="1"/>
    </xf>
    <xf numFmtId="0" fontId="21" fillId="9" borderId="35" xfId="1" applyFont="1" applyFill="1" applyBorder="1" applyAlignment="1">
      <alignment horizontal="center" vertical="center"/>
    </xf>
    <xf numFmtId="0" fontId="21" fillId="9" borderId="36" xfId="1" applyFont="1" applyFill="1" applyBorder="1" applyAlignment="1">
      <alignment horizontal="center" vertical="center"/>
    </xf>
    <xf numFmtId="0" fontId="19" fillId="0" borderId="0" xfId="1" applyFont="1">
      <alignment vertical="center"/>
    </xf>
    <xf numFmtId="0" fontId="20" fillId="0" borderId="0" xfId="1" applyFont="1">
      <alignment vertical="center"/>
    </xf>
    <xf numFmtId="0" fontId="21" fillId="9" borderId="58" xfId="1" applyFont="1" applyFill="1" applyBorder="1" applyAlignment="1">
      <alignment horizontal="center" vertical="center" wrapText="1"/>
    </xf>
    <xf numFmtId="49" fontId="21" fillId="9" borderId="51" xfId="1" applyNumberFormat="1" applyFont="1" applyFill="1" applyBorder="1" applyAlignment="1">
      <alignment horizontal="center" vertical="center"/>
    </xf>
    <xf numFmtId="0" fontId="7" fillId="0" borderId="35" xfId="1" applyFont="1" applyBorder="1" applyAlignment="1">
      <alignment horizontal="left" vertical="center" indent="1"/>
    </xf>
    <xf numFmtId="0" fontId="7" fillId="0" borderId="35" xfId="1" quotePrefix="1" applyFont="1" applyBorder="1" applyAlignment="1">
      <alignment vertical="center" wrapText="1"/>
    </xf>
    <xf numFmtId="49" fontId="7" fillId="0" borderId="36" xfId="1" applyNumberFormat="1" applyFont="1" applyBorder="1" applyAlignment="1">
      <alignment horizontal="center" vertical="center"/>
    </xf>
    <xf numFmtId="0" fontId="34" fillId="0" borderId="14" xfId="1" applyFont="1" applyBorder="1" applyAlignment="1">
      <alignment horizontal="center" vertical="center"/>
    </xf>
    <xf numFmtId="0" fontId="7" fillId="0" borderId="14" xfId="1" applyFont="1" applyBorder="1" applyAlignment="1">
      <alignment horizontal="left" vertical="center" indent="1"/>
    </xf>
    <xf numFmtId="0" fontId="7" fillId="0" borderId="14" xfId="4" applyBorder="1"/>
    <xf numFmtId="49" fontId="34" fillId="0" borderId="15" xfId="1" quotePrefix="1" applyNumberFormat="1" applyFont="1" applyBorder="1" applyAlignment="1">
      <alignment horizontal="center" vertical="center"/>
    </xf>
    <xf numFmtId="0" fontId="34" fillId="0" borderId="38" xfId="1" applyFont="1" applyBorder="1" applyAlignment="1">
      <alignment horizontal="center" vertical="center"/>
    </xf>
    <xf numFmtId="0" fontId="7" fillId="0" borderId="38" xfId="1" applyFont="1" applyBorder="1" applyAlignment="1">
      <alignment horizontal="left" vertical="center" indent="1"/>
    </xf>
    <xf numFmtId="49" fontId="34" fillId="0" borderId="48" xfId="1" quotePrefix="1" applyNumberFormat="1" applyFont="1" applyBorder="1" applyAlignment="1">
      <alignment horizontal="center" vertical="center"/>
    </xf>
    <xf numFmtId="0" fontId="7" fillId="0" borderId="14" xfId="5" applyFont="1" applyBorder="1" applyAlignment="1">
      <alignment vertical="center" wrapText="1" shrinkToFit="1"/>
    </xf>
    <xf numFmtId="20" fontId="7" fillId="11" borderId="14" xfId="5" quotePrefix="1" applyNumberFormat="1" applyFont="1" applyFill="1" applyBorder="1" applyAlignment="1">
      <alignment vertical="center" wrapText="1" shrinkToFit="1"/>
    </xf>
    <xf numFmtId="20" fontId="7" fillId="0" borderId="14" xfId="5" quotePrefix="1" applyNumberFormat="1" applyFont="1" applyBorder="1" applyAlignment="1">
      <alignment vertical="center" wrapText="1" shrinkToFit="1"/>
    </xf>
    <xf numFmtId="0" fontId="7" fillId="7" borderId="14" xfId="1" applyFont="1" applyFill="1" applyBorder="1" applyAlignment="1">
      <alignment horizontal="left" vertical="center" indent="1"/>
    </xf>
    <xf numFmtId="0" fontId="7" fillId="11" borderId="14" xfId="5" applyFont="1" applyFill="1" applyBorder="1" applyAlignment="1">
      <alignment vertical="center" wrapText="1" shrinkToFit="1"/>
    </xf>
    <xf numFmtId="20" fontId="7" fillId="0" borderId="14" xfId="5" applyNumberFormat="1" applyFont="1" applyBorder="1" applyAlignment="1">
      <alignment vertical="center" wrapText="1" shrinkToFit="1"/>
    </xf>
    <xf numFmtId="20" fontId="7" fillId="7" borderId="14" xfId="5" applyNumberFormat="1" applyFont="1" applyFill="1" applyBorder="1" applyAlignment="1">
      <alignment vertical="center" wrapText="1" shrinkToFit="1"/>
    </xf>
    <xf numFmtId="20" fontId="7" fillId="0" borderId="15" xfId="5" applyNumberFormat="1" applyFont="1" applyBorder="1" applyAlignment="1">
      <alignment vertical="center" wrapText="1" shrinkToFit="1"/>
    </xf>
    <xf numFmtId="0" fontId="7" fillId="10" borderId="14" xfId="1" applyFont="1" applyFill="1" applyBorder="1" applyAlignment="1">
      <alignment horizontal="left" vertical="center" indent="1"/>
    </xf>
    <xf numFmtId="20" fontId="7" fillId="10" borderId="14" xfId="5" applyNumberFormat="1" applyFont="1" applyFill="1" applyBorder="1" applyAlignment="1">
      <alignment vertical="center" wrapText="1" shrinkToFit="1"/>
    </xf>
    <xf numFmtId="0" fontId="34" fillId="7" borderId="20" xfId="1" quotePrefix="1" applyFont="1" applyFill="1" applyBorder="1" applyAlignment="1">
      <alignment horizontal="left" vertical="center" indent="1"/>
    </xf>
    <xf numFmtId="20" fontId="34" fillId="7" borderId="20" xfId="5" quotePrefix="1" applyNumberFormat="1" applyFont="1" applyFill="1" applyBorder="1" applyAlignment="1">
      <alignment vertical="center" wrapText="1" shrinkToFit="1"/>
    </xf>
    <xf numFmtId="0" fontId="22" fillId="0" borderId="0" xfId="1" applyFont="1" applyAlignment="1">
      <alignment horizontal="center" vertical="center" wrapText="1"/>
    </xf>
    <xf numFmtId="0" fontId="34" fillId="0" borderId="0" xfId="1" applyFont="1" applyAlignment="1">
      <alignment horizontal="center" vertical="center"/>
    </xf>
    <xf numFmtId="0" fontId="34" fillId="7" borderId="0" xfId="1" quotePrefix="1" applyFont="1" applyFill="1" applyAlignment="1">
      <alignment horizontal="left" vertical="center" indent="1"/>
    </xf>
    <xf numFmtId="20" fontId="34" fillId="7" borderId="0" xfId="5" quotePrefix="1" applyNumberFormat="1" applyFont="1" applyFill="1" applyAlignment="1">
      <alignment vertical="center" wrapText="1" shrinkToFit="1"/>
    </xf>
    <xf numFmtId="49" fontId="7" fillId="0" borderId="0" xfId="1" quotePrefix="1" applyNumberFormat="1" applyFont="1" applyAlignment="1">
      <alignment horizontal="center" vertical="center"/>
    </xf>
    <xf numFmtId="0" fontId="21" fillId="9" borderId="65" xfId="1" applyFont="1" applyFill="1" applyBorder="1" applyAlignment="1">
      <alignment horizontal="center" vertical="center" wrapText="1"/>
    </xf>
    <xf numFmtId="0" fontId="21" fillId="9" borderId="66" xfId="1" applyFont="1" applyFill="1" applyBorder="1" applyAlignment="1">
      <alignment horizontal="center" vertical="center" wrapText="1"/>
    </xf>
    <xf numFmtId="0" fontId="21" fillId="9" borderId="66" xfId="1" applyFont="1" applyFill="1" applyBorder="1" applyAlignment="1">
      <alignment horizontal="center" vertical="center"/>
    </xf>
    <xf numFmtId="49" fontId="21" fillId="9" borderId="67" xfId="1" applyNumberFormat="1" applyFont="1" applyFill="1" applyBorder="1" applyAlignment="1">
      <alignment horizontal="center" vertical="center"/>
    </xf>
    <xf numFmtId="0" fontId="7" fillId="0" borderId="36" xfId="1" applyFont="1" applyBorder="1" applyAlignment="1">
      <alignment horizontal="center" vertical="center"/>
    </xf>
    <xf numFmtId="0" fontId="7" fillId="0" borderId="15" xfId="1" applyFont="1" applyBorder="1" applyAlignment="1">
      <alignment horizontal="center" vertical="center"/>
    </xf>
    <xf numFmtId="0" fontId="7" fillId="0" borderId="21" xfId="1" applyFont="1" applyBorder="1" applyAlignment="1">
      <alignment horizontal="center" vertical="center"/>
    </xf>
    <xf numFmtId="0" fontId="7" fillId="0" borderId="35" xfId="1" applyFont="1" applyBorder="1" applyAlignment="1">
      <alignment vertical="center" wrapText="1"/>
    </xf>
    <xf numFmtId="0" fontId="7" fillId="0" borderId="14" xfId="1" applyFont="1" applyBorder="1" applyAlignment="1">
      <alignment vertical="center" wrapText="1"/>
    </xf>
    <xf numFmtId="0" fontId="29" fillId="0" borderId="20" xfId="1" applyFont="1" applyBorder="1" applyAlignment="1">
      <alignment vertical="center" wrapText="1"/>
    </xf>
    <xf numFmtId="0" fontId="39" fillId="0" borderId="0" xfId="1" applyFont="1">
      <alignment vertical="center"/>
    </xf>
    <xf numFmtId="0" fontId="40" fillId="0" borderId="0" xfId="1" applyFont="1" applyAlignment="1">
      <alignment horizontal="center" vertical="center"/>
    </xf>
    <xf numFmtId="0" fontId="41" fillId="0" borderId="0" xfId="1" applyFont="1" applyAlignment="1">
      <alignment horizontal="center" vertical="center"/>
    </xf>
    <xf numFmtId="0" fontId="42" fillId="14" borderId="38" xfId="1" applyFont="1" applyFill="1" applyBorder="1" applyAlignment="1">
      <alignment horizontal="center" vertical="center"/>
    </xf>
    <xf numFmtId="0" fontId="43" fillId="15" borderId="14" xfId="1" applyFont="1" applyFill="1" applyBorder="1" applyAlignment="1">
      <alignment horizontal="center" vertical="center"/>
    </xf>
    <xf numFmtId="0" fontId="43" fillId="0" borderId="0" xfId="1" applyFont="1" applyAlignment="1">
      <alignment horizontal="center" vertical="center"/>
    </xf>
    <xf numFmtId="0" fontId="43" fillId="0" borderId="14" xfId="1" applyFont="1" applyBorder="1">
      <alignment vertical="center"/>
    </xf>
    <xf numFmtId="0" fontId="43" fillId="0" borderId="14" xfId="1" applyFont="1" applyBorder="1" applyAlignment="1">
      <alignment horizontal="center" vertical="center"/>
    </xf>
    <xf numFmtId="0" fontId="43" fillId="16" borderId="14" xfId="1" applyFont="1" applyFill="1" applyBorder="1" applyAlignment="1">
      <alignment horizontal="center" vertical="center"/>
    </xf>
    <xf numFmtId="0" fontId="43" fillId="17" borderId="14" xfId="1" applyFont="1" applyFill="1" applyBorder="1" applyAlignment="1">
      <alignment horizontal="center" vertical="center"/>
    </xf>
    <xf numFmtId="0" fontId="43" fillId="18" borderId="14" xfId="1" applyFont="1" applyFill="1" applyBorder="1" applyAlignment="1">
      <alignment horizontal="center" vertical="center"/>
    </xf>
    <xf numFmtId="0" fontId="43" fillId="18" borderId="14" xfId="2" applyFont="1" applyFill="1" applyBorder="1" applyAlignment="1">
      <alignment horizontal="center" vertical="center"/>
    </xf>
    <xf numFmtId="0" fontId="43" fillId="0" borderId="0" xfId="1" applyFont="1">
      <alignment vertical="center"/>
    </xf>
    <xf numFmtId="0" fontId="44" fillId="19" borderId="68" xfId="1" applyFont="1" applyFill="1" applyBorder="1" applyAlignment="1">
      <alignment horizontal="center" vertical="center" wrapText="1"/>
    </xf>
    <xf numFmtId="0" fontId="44" fillId="19" borderId="69" xfId="1" applyFont="1" applyFill="1" applyBorder="1" applyAlignment="1">
      <alignment horizontal="center" vertical="center" wrapText="1"/>
    </xf>
    <xf numFmtId="0" fontId="45" fillId="19" borderId="69" xfId="1" applyFont="1" applyFill="1" applyBorder="1" applyAlignment="1">
      <alignment horizontal="center" vertical="center" wrapText="1"/>
    </xf>
    <xf numFmtId="0" fontId="43" fillId="0" borderId="69" xfId="1" applyFont="1" applyBorder="1" applyAlignment="1">
      <alignment horizontal="center" vertical="center" wrapText="1"/>
    </xf>
    <xf numFmtId="0" fontId="43" fillId="0" borderId="70" xfId="1" applyFont="1" applyBorder="1" applyAlignment="1">
      <alignment horizontal="center" vertical="center" wrapText="1"/>
    </xf>
    <xf numFmtId="0" fontId="43" fillId="0" borderId="72" xfId="1" applyFont="1" applyBorder="1" applyAlignment="1">
      <alignment horizontal="center" vertical="center" wrapText="1"/>
    </xf>
    <xf numFmtId="0" fontId="43" fillId="0" borderId="68" xfId="1" applyFont="1" applyBorder="1" applyAlignment="1">
      <alignment horizontal="center" vertical="center" wrapText="1"/>
    </xf>
    <xf numFmtId="0" fontId="1" fillId="11" borderId="51" xfId="1" applyFill="1" applyBorder="1" applyAlignment="1">
      <alignment horizontal="left" vertical="center" wrapText="1"/>
    </xf>
    <xf numFmtId="0" fontId="43" fillId="0" borderId="10" xfId="1" applyFont="1" applyBorder="1" applyAlignment="1">
      <alignment vertical="center" wrapText="1"/>
    </xf>
    <xf numFmtId="0" fontId="43" fillId="11" borderId="71" xfId="1" applyFont="1" applyFill="1" applyBorder="1" applyAlignment="1">
      <alignment horizontal="left" vertical="center" wrapText="1"/>
    </xf>
    <xf numFmtId="0" fontId="43" fillId="11" borderId="73" xfId="1" applyFont="1" applyFill="1" applyBorder="1" applyAlignment="1">
      <alignment horizontal="left" vertical="center" wrapText="1"/>
    </xf>
    <xf numFmtId="0" fontId="43" fillId="0" borderId="6" xfId="1" applyFont="1" applyBorder="1" applyAlignment="1">
      <alignment horizontal="center" vertical="center" wrapText="1"/>
    </xf>
    <xf numFmtId="0" fontId="43" fillId="0" borderId="12" xfId="1" applyFont="1" applyBorder="1" applyAlignment="1">
      <alignment horizontal="center" vertical="center" wrapText="1"/>
    </xf>
    <xf numFmtId="0" fontId="43" fillId="0" borderId="25" xfId="1" applyFont="1" applyBorder="1" applyAlignment="1">
      <alignment horizontal="center" vertical="center" wrapText="1"/>
    </xf>
    <xf numFmtId="0" fontId="42" fillId="0" borderId="0" xfId="1" applyFont="1" applyAlignment="1">
      <alignment horizontal="center" vertical="center" wrapText="1"/>
    </xf>
    <xf numFmtId="0" fontId="1" fillId="0" borderId="0" xfId="6">
      <alignment vertical="center"/>
    </xf>
    <xf numFmtId="0" fontId="18" fillId="0" borderId="0" xfId="6" applyFont="1">
      <alignment vertical="center"/>
    </xf>
    <xf numFmtId="0" fontId="7" fillId="0" borderId="0" xfId="6" applyFont="1" applyAlignment="1">
      <alignment horizontal="center" vertical="center"/>
    </xf>
    <xf numFmtId="0" fontId="7" fillId="0" borderId="0" xfId="6" applyFont="1">
      <alignment vertical="center"/>
    </xf>
    <xf numFmtId="0" fontId="19" fillId="0" borderId="0" xfId="6" quotePrefix="1" applyFont="1">
      <alignment vertical="center"/>
    </xf>
    <xf numFmtId="0" fontId="20" fillId="0" borderId="53" xfId="6" quotePrefix="1" applyFont="1" applyBorder="1">
      <alignment vertical="center"/>
    </xf>
    <xf numFmtId="0" fontId="7" fillId="0" borderId="62" xfId="6" applyFont="1" applyBorder="1" applyAlignment="1">
      <alignment horizontal="center" vertical="center"/>
    </xf>
    <xf numFmtId="0" fontId="7" fillId="0" borderId="62" xfId="6" applyFont="1" applyBorder="1">
      <alignment vertical="center"/>
    </xf>
    <xf numFmtId="0" fontId="7" fillId="0" borderId="63" xfId="6" applyFont="1" applyBorder="1">
      <alignment vertical="center"/>
    </xf>
    <xf numFmtId="0" fontId="20" fillId="0" borderId="56" xfId="6" quotePrefix="1" applyFont="1" applyBorder="1">
      <alignment vertical="center"/>
    </xf>
    <xf numFmtId="0" fontId="7" fillId="0" borderId="64" xfId="6" applyFont="1" applyBorder="1">
      <alignment vertical="center"/>
    </xf>
    <xf numFmtId="0" fontId="32" fillId="0" borderId="56" xfId="6" quotePrefix="1" applyFont="1" applyBorder="1" applyAlignment="1">
      <alignment horizontal="right" vertical="center"/>
    </xf>
    <xf numFmtId="0" fontId="19" fillId="20" borderId="0" xfId="6" applyFont="1" applyFill="1" applyAlignment="1">
      <alignment horizontal="center" vertical="center"/>
    </xf>
    <xf numFmtId="0" fontId="21" fillId="0" borderId="0" xfId="6" applyFont="1" applyAlignment="1">
      <alignment horizontal="left" vertical="center"/>
    </xf>
    <xf numFmtId="0" fontId="21" fillId="9" borderId="34" xfId="6" applyFont="1" applyFill="1" applyBorder="1" applyAlignment="1">
      <alignment horizontal="center" vertical="center" wrapText="1"/>
    </xf>
    <xf numFmtId="0" fontId="21" fillId="9" borderId="35" xfId="6" applyFont="1" applyFill="1" applyBorder="1" applyAlignment="1">
      <alignment horizontal="center" vertical="center" wrapText="1"/>
    </xf>
    <xf numFmtId="0" fontId="21" fillId="9" borderId="35" xfId="6" applyFont="1" applyFill="1" applyBorder="1" applyAlignment="1">
      <alignment horizontal="center" vertical="center"/>
    </xf>
    <xf numFmtId="49" fontId="21" fillId="9" borderId="35" xfId="6" applyNumberFormat="1" applyFont="1" applyFill="1" applyBorder="1" applyAlignment="1">
      <alignment horizontal="center" vertical="center"/>
    </xf>
    <xf numFmtId="0" fontId="21" fillId="9" borderId="36" xfId="6" applyFont="1" applyFill="1" applyBorder="1" applyAlignment="1">
      <alignment horizontal="center" vertical="center"/>
    </xf>
    <xf numFmtId="0" fontId="7" fillId="0" borderId="14" xfId="6" applyFont="1" applyBorder="1" applyAlignment="1">
      <alignment horizontal="center" vertical="center"/>
    </xf>
    <xf numFmtId="0" fontId="7" fillId="7" borderId="14" xfId="6" applyFont="1" applyFill="1" applyBorder="1" applyAlignment="1">
      <alignment horizontal="center" vertical="center"/>
    </xf>
    <xf numFmtId="0" fontId="7" fillId="7" borderId="14" xfId="6" quotePrefix="1" applyFont="1" applyFill="1" applyBorder="1">
      <alignment vertical="center"/>
    </xf>
    <xf numFmtId="0" fontId="7" fillId="7" borderId="15" xfId="1" applyFont="1" applyFill="1" applyBorder="1" applyAlignment="1">
      <alignment vertical="center" wrapText="1"/>
    </xf>
    <xf numFmtId="0" fontId="7" fillId="0" borderId="14" xfId="6" quotePrefix="1" applyFont="1" applyBorder="1">
      <alignment vertical="center"/>
    </xf>
    <xf numFmtId="11" fontId="7" fillId="7" borderId="14" xfId="6" applyNumberFormat="1" applyFont="1" applyFill="1" applyBorder="1" applyAlignment="1">
      <alignment horizontal="center" vertical="center"/>
    </xf>
    <xf numFmtId="0" fontId="7" fillId="7" borderId="8" xfId="6" applyFont="1" applyFill="1" applyBorder="1" applyAlignment="1">
      <alignment horizontal="left" vertical="center" wrapText="1"/>
    </xf>
    <xf numFmtId="0" fontId="7" fillId="7" borderId="8" xfId="6" applyFont="1" applyFill="1" applyBorder="1" applyAlignment="1">
      <alignment horizontal="center" vertical="center"/>
    </xf>
    <xf numFmtId="0" fontId="7" fillId="7" borderId="9" xfId="1" applyFont="1" applyFill="1" applyBorder="1" applyAlignment="1">
      <alignment horizontal="left" vertical="center" wrapText="1"/>
    </xf>
    <xf numFmtId="0" fontId="7" fillId="0" borderId="14" xfId="6" applyFont="1" applyBorder="1" applyAlignment="1">
      <alignment vertical="center" wrapText="1"/>
    </xf>
    <xf numFmtId="0" fontId="24" fillId="0" borderId="15" xfId="1" applyFont="1" applyBorder="1" applyAlignment="1">
      <alignment vertical="center" wrapText="1"/>
    </xf>
    <xf numFmtId="0" fontId="7" fillId="0" borderId="14" xfId="6" applyFont="1" applyBorder="1">
      <alignment vertical="center"/>
    </xf>
    <xf numFmtId="0" fontId="7" fillId="0" borderId="38" xfId="6" applyFont="1" applyBorder="1" applyAlignment="1">
      <alignment horizontal="center" vertical="center"/>
    </xf>
    <xf numFmtId="0" fontId="7" fillId="0" borderId="38" xfId="6" applyFont="1" applyBorder="1">
      <alignment vertical="center"/>
    </xf>
    <xf numFmtId="0" fontId="7" fillId="0" borderId="35" xfId="5" applyFont="1" applyBorder="1" applyAlignment="1">
      <alignment vertical="center" wrapText="1" shrinkToFit="1"/>
    </xf>
    <xf numFmtId="0" fontId="7" fillId="7" borderId="15" xfId="1" applyFont="1" applyFill="1" applyBorder="1">
      <alignment vertical="center"/>
    </xf>
    <xf numFmtId="0" fontId="7" fillId="0" borderId="15" xfId="5" applyFont="1" applyBorder="1" applyAlignment="1">
      <alignment vertical="center" wrapText="1" shrinkToFit="1"/>
    </xf>
    <xf numFmtId="0" fontId="24" fillId="0" borderId="15" xfId="5" quotePrefix="1" applyFont="1" applyBorder="1" applyAlignment="1">
      <alignment vertical="center" wrapText="1" shrinkToFit="1"/>
    </xf>
    <xf numFmtId="0" fontId="7" fillId="7" borderId="38" xfId="6" applyFont="1" applyFill="1" applyBorder="1" applyAlignment="1">
      <alignment horizontal="center" vertical="center"/>
    </xf>
    <xf numFmtId="0" fontId="7" fillId="7" borderId="14" xfId="6" applyFont="1" applyFill="1" applyBorder="1" applyAlignment="1">
      <alignment vertical="center" wrapText="1"/>
    </xf>
    <xf numFmtId="0" fontId="7" fillId="7" borderId="14" xfId="6" applyFont="1" applyFill="1" applyBorder="1" applyAlignment="1">
      <alignment horizontal="left" vertical="center"/>
    </xf>
    <xf numFmtId="0" fontId="7" fillId="7" borderId="15" xfId="5" applyFont="1" applyFill="1" applyBorder="1" applyAlignment="1">
      <alignment horizontal="center" vertical="center" wrapText="1" shrinkToFit="1"/>
    </xf>
    <xf numFmtId="0" fontId="7" fillId="0" borderId="38" xfId="1" applyFont="1" applyBorder="1">
      <alignment vertical="center"/>
    </xf>
    <xf numFmtId="0" fontId="21" fillId="7" borderId="14" xfId="6" applyFont="1" applyFill="1" applyBorder="1" applyAlignment="1">
      <alignment horizontal="center" vertical="center"/>
    </xf>
    <xf numFmtId="0" fontId="7" fillId="7" borderId="14" xfId="5" applyFont="1" applyFill="1" applyBorder="1" applyAlignment="1">
      <alignment vertical="center" wrapText="1" shrinkToFit="1"/>
    </xf>
    <xf numFmtId="0" fontId="24" fillId="0" borderId="15" xfId="1" quotePrefix="1" applyFont="1" applyBorder="1" applyAlignment="1">
      <alignment horizontal="left" vertical="center" wrapText="1"/>
    </xf>
    <xf numFmtId="0" fontId="7" fillId="10" borderId="14" xfId="1" applyFont="1" applyFill="1" applyBorder="1" applyAlignment="1">
      <alignment horizontal="center" vertical="center"/>
    </xf>
    <xf numFmtId="0" fontId="7" fillId="10" borderId="14" xfId="6" applyFont="1" applyFill="1" applyBorder="1" applyAlignment="1">
      <alignment horizontal="center" vertical="center"/>
    </xf>
    <xf numFmtId="0" fontId="7" fillId="0" borderId="14" xfId="5" applyFont="1" applyBorder="1" applyAlignment="1">
      <alignment horizontal="center" vertical="center" wrapText="1" shrinkToFit="1"/>
    </xf>
    <xf numFmtId="0" fontId="1" fillId="0" borderId="14" xfId="6" applyBorder="1" applyAlignment="1">
      <alignment horizontal="center" vertical="center"/>
    </xf>
    <xf numFmtId="0" fontId="24" fillId="7" borderId="48" xfId="1" quotePrefix="1" applyFont="1" applyFill="1" applyBorder="1" applyAlignment="1">
      <alignment horizontal="left" vertical="center" wrapText="1"/>
    </xf>
    <xf numFmtId="0" fontId="1" fillId="7" borderId="14" xfId="6" applyFill="1" applyBorder="1">
      <alignment vertical="center"/>
    </xf>
    <xf numFmtId="0" fontId="1" fillId="7" borderId="15" xfId="6" applyFill="1" applyBorder="1">
      <alignment vertical="center"/>
    </xf>
    <xf numFmtId="0" fontId="7" fillId="0" borderId="20" xfId="6" applyFont="1" applyBorder="1" applyAlignment="1">
      <alignment horizontal="center" vertical="center"/>
    </xf>
    <xf numFmtId="0" fontId="7" fillId="0" borderId="20" xfId="6" applyFont="1" applyBorder="1">
      <alignment vertical="center"/>
    </xf>
    <xf numFmtId="0" fontId="7" fillId="0" borderId="21" xfId="5" applyFont="1" applyBorder="1" applyAlignment="1">
      <alignment vertical="center" wrapText="1" shrinkToFit="1"/>
    </xf>
    <xf numFmtId="0" fontId="9" fillId="4" borderId="32" xfId="3" applyFont="1" applyFill="1" applyBorder="1" applyAlignment="1">
      <alignment horizontal="left" vertical="center" wrapText="1" indent="1"/>
    </xf>
    <xf numFmtId="0" fontId="9" fillId="4" borderId="30" xfId="3" applyFont="1" applyFill="1" applyBorder="1" applyAlignment="1">
      <alignment horizontal="left" vertical="center" wrapText="1" indent="1"/>
    </xf>
    <xf numFmtId="0" fontId="9" fillId="4" borderId="31" xfId="3" applyFont="1" applyFill="1" applyBorder="1" applyAlignment="1">
      <alignment horizontal="left" vertical="center" wrapText="1" indent="1"/>
    </xf>
    <xf numFmtId="0" fontId="9" fillId="4" borderId="32" xfId="3" applyFont="1" applyFill="1" applyBorder="1" applyAlignment="1">
      <alignment horizontal="center" vertical="center" wrapText="1"/>
    </xf>
    <xf numFmtId="0" fontId="9" fillId="4" borderId="31" xfId="3" applyFont="1" applyFill="1" applyBorder="1" applyAlignment="1">
      <alignment horizontal="center" vertical="center" wrapText="1"/>
    </xf>
    <xf numFmtId="0" fontId="9" fillId="4" borderId="14" xfId="3" applyFont="1" applyFill="1" applyBorder="1" applyAlignment="1">
      <alignment horizontal="left" vertical="center" wrapText="1" indent="1"/>
    </xf>
    <xf numFmtId="0" fontId="9" fillId="0" borderId="14" xfId="2" applyFont="1" applyBorder="1" applyAlignment="1">
      <alignment horizontal="left" wrapText="1" indent="1"/>
    </xf>
    <xf numFmtId="0" fontId="9" fillId="4" borderId="14" xfId="3" applyFont="1" applyFill="1" applyBorder="1" applyAlignment="1">
      <alignment horizontal="center" vertical="center" wrapText="1"/>
    </xf>
    <xf numFmtId="0" fontId="9" fillId="4" borderId="11" xfId="3" applyFont="1" applyFill="1" applyBorder="1" applyAlignment="1">
      <alignment horizontal="center" vertical="center" wrapText="1"/>
    </xf>
    <xf numFmtId="0" fontId="9" fillId="4" borderId="13" xfId="3" applyFont="1" applyFill="1" applyBorder="1" applyAlignment="1">
      <alignment horizontal="center" vertical="center" wrapText="1"/>
    </xf>
    <xf numFmtId="164" fontId="9" fillId="4" borderId="37" xfId="3" applyNumberFormat="1" applyFont="1" applyFill="1" applyBorder="1" applyAlignment="1">
      <alignment horizontal="center" vertical="center"/>
    </xf>
    <xf numFmtId="164" fontId="9" fillId="4" borderId="39" xfId="3" applyNumberFormat="1" applyFont="1" applyFill="1" applyBorder="1" applyAlignment="1">
      <alignment horizontal="center" vertical="center"/>
    </xf>
    <xf numFmtId="164" fontId="9" fillId="4" borderId="4" xfId="3" applyNumberFormat="1" applyFont="1" applyFill="1" applyBorder="1" applyAlignment="1">
      <alignment horizontal="center" vertical="center"/>
    </xf>
    <xf numFmtId="14" fontId="9" fillId="4" borderId="38" xfId="3" applyNumberFormat="1" applyFont="1" applyFill="1" applyBorder="1" applyAlignment="1">
      <alignment horizontal="center" vertical="center"/>
    </xf>
    <xf numFmtId="14" fontId="9" fillId="4" borderId="40" xfId="3" applyNumberFormat="1" applyFont="1" applyFill="1" applyBorder="1" applyAlignment="1">
      <alignment horizontal="center" vertical="center"/>
    </xf>
    <xf numFmtId="14" fontId="9" fillId="4" borderId="8" xfId="3" applyNumberFormat="1" applyFont="1" applyFill="1" applyBorder="1" applyAlignment="1">
      <alignment horizontal="center" vertical="center"/>
    </xf>
    <xf numFmtId="0" fontId="9" fillId="4" borderId="38" xfId="3" applyFont="1" applyFill="1" applyBorder="1" applyAlignment="1">
      <alignment horizontal="center" vertical="center" wrapText="1"/>
    </xf>
    <xf numFmtId="0" fontId="9" fillId="4" borderId="40" xfId="3" applyFont="1" applyFill="1" applyBorder="1" applyAlignment="1">
      <alignment horizontal="center" vertical="center" wrapText="1"/>
    </xf>
    <xf numFmtId="0" fontId="9" fillId="4" borderId="8" xfId="3" applyFont="1" applyFill="1" applyBorder="1" applyAlignment="1">
      <alignment horizontal="center" vertical="center" wrapText="1"/>
    </xf>
    <xf numFmtId="0" fontId="9" fillId="4" borderId="27" xfId="3" applyFont="1" applyFill="1" applyBorder="1" applyAlignment="1">
      <alignment horizontal="center" vertical="center" wrapText="1"/>
    </xf>
    <xf numFmtId="0" fontId="9" fillId="4" borderId="26" xfId="3" applyFont="1" applyFill="1" applyBorder="1" applyAlignment="1">
      <alignment horizontal="center" vertical="center" wrapText="1"/>
    </xf>
    <xf numFmtId="0" fontId="9" fillId="4" borderId="41" xfId="3" applyFont="1" applyFill="1" applyBorder="1" applyAlignment="1">
      <alignment horizontal="center" vertical="center" wrapText="1"/>
    </xf>
    <xf numFmtId="0" fontId="9" fillId="4" borderId="42" xfId="3" applyFont="1" applyFill="1" applyBorder="1" applyAlignment="1">
      <alignment horizontal="center" vertical="center" wrapText="1"/>
    </xf>
    <xf numFmtId="0" fontId="9" fillId="4" borderId="5" xfId="3" applyFont="1" applyFill="1" applyBorder="1" applyAlignment="1">
      <alignment horizontal="center" vertical="center" wrapText="1"/>
    </xf>
    <xf numFmtId="0" fontId="9" fillId="4" borderId="7" xfId="3" applyFont="1" applyFill="1" applyBorder="1" applyAlignment="1">
      <alignment horizontal="center" vertical="center" wrapText="1"/>
    </xf>
    <xf numFmtId="0" fontId="9" fillId="4" borderId="48" xfId="3" applyFont="1" applyFill="1" applyBorder="1" applyAlignment="1">
      <alignment horizontal="center" vertical="center"/>
    </xf>
    <xf numFmtId="0" fontId="9" fillId="4" borderId="9" xfId="3" applyFont="1" applyFill="1" applyBorder="1" applyAlignment="1">
      <alignment horizontal="center" vertical="center"/>
    </xf>
    <xf numFmtId="0" fontId="9" fillId="4" borderId="60" xfId="3" applyFont="1" applyFill="1" applyBorder="1" applyAlignment="1">
      <alignment horizontal="center" vertical="center"/>
    </xf>
    <xf numFmtId="164" fontId="9" fillId="4" borderId="24" xfId="3" applyNumberFormat="1" applyFont="1" applyFill="1" applyBorder="1" applyAlignment="1">
      <alignment horizontal="center" vertical="center" wrapText="1"/>
    </xf>
    <xf numFmtId="164" fontId="9" fillId="4" borderId="25" xfId="3" applyNumberFormat="1" applyFont="1" applyFill="1" applyBorder="1" applyAlignment="1">
      <alignment horizontal="center" vertical="center"/>
    </xf>
    <xf numFmtId="164" fontId="9" fillId="4" borderId="26" xfId="3" applyNumberFormat="1" applyFont="1" applyFill="1" applyBorder="1" applyAlignment="1">
      <alignment horizontal="center" vertical="center"/>
    </xf>
    <xf numFmtId="164" fontId="9" fillId="4" borderId="29" xfId="3" applyNumberFormat="1" applyFont="1" applyFill="1" applyBorder="1" applyAlignment="1">
      <alignment horizontal="center" vertical="center"/>
    </xf>
    <xf numFmtId="164" fontId="9" fillId="4" borderId="30" xfId="3" applyNumberFormat="1" applyFont="1" applyFill="1" applyBorder="1" applyAlignment="1">
      <alignment horizontal="center" vertical="center"/>
    </xf>
    <xf numFmtId="164" fontId="9" fillId="4" borderId="31" xfId="3" applyNumberFormat="1" applyFont="1" applyFill="1" applyBorder="1" applyAlignment="1">
      <alignment horizontal="center" vertical="center"/>
    </xf>
    <xf numFmtId="164" fontId="9" fillId="4" borderId="27" xfId="3" applyNumberFormat="1" applyFont="1" applyFill="1" applyBorder="1" applyAlignment="1">
      <alignment horizontal="center" vertical="center" wrapText="1"/>
    </xf>
    <xf numFmtId="164" fontId="9" fillId="4" borderId="32" xfId="3" applyNumberFormat="1" applyFont="1" applyFill="1" applyBorder="1" applyAlignment="1">
      <alignment horizontal="center" vertical="center"/>
    </xf>
    <xf numFmtId="164" fontId="9" fillId="4" borderId="27" xfId="3" applyNumberFormat="1" applyFont="1" applyFill="1" applyBorder="1" applyAlignment="1">
      <alignment horizontal="center" vertical="center"/>
    </xf>
    <xf numFmtId="164" fontId="9" fillId="4" borderId="28" xfId="3" applyNumberFormat="1" applyFont="1" applyFill="1" applyBorder="1" applyAlignment="1">
      <alignment horizontal="center" vertical="center"/>
    </xf>
    <xf numFmtId="164" fontId="9" fillId="4" borderId="33" xfId="3" applyNumberFormat="1" applyFont="1" applyFill="1" applyBorder="1" applyAlignment="1">
      <alignment horizontal="center" vertical="center"/>
    </xf>
    <xf numFmtId="164" fontId="11" fillId="5" borderId="1" xfId="3" applyNumberFormat="1" applyFont="1" applyFill="1" applyBorder="1" applyAlignment="1">
      <alignment vertical="center"/>
    </xf>
    <xf numFmtId="0" fontId="12" fillId="0" borderId="2" xfId="3" applyFont="1" applyBorder="1" applyAlignment="1">
      <alignment vertical="center"/>
    </xf>
    <xf numFmtId="0" fontId="12" fillId="0" borderId="3" xfId="3" applyFont="1" applyBorder="1" applyAlignment="1">
      <alignment vertical="center"/>
    </xf>
    <xf numFmtId="0" fontId="14" fillId="6" borderId="35" xfId="3" applyFont="1" applyFill="1" applyBorder="1" applyAlignment="1">
      <alignment horizontal="center" vertical="center"/>
    </xf>
    <xf numFmtId="0" fontId="9" fillId="4" borderId="11" xfId="3" applyFont="1" applyFill="1" applyBorder="1" applyAlignment="1">
      <alignment horizontal="left" vertical="center" indent="1"/>
    </xf>
    <xf numFmtId="0" fontId="9" fillId="4" borderId="12" xfId="3" applyFont="1" applyFill="1" applyBorder="1" applyAlignment="1">
      <alignment horizontal="left" vertical="center" indent="1"/>
    </xf>
    <xf numFmtId="0" fontId="13" fillId="0" borderId="13" xfId="3" applyFont="1" applyBorder="1" applyAlignment="1">
      <alignment horizontal="left" vertical="center" indent="1"/>
    </xf>
    <xf numFmtId="14" fontId="9" fillId="4" borderId="14" xfId="3" applyNumberFormat="1" applyFont="1" applyFill="1" applyBorder="1" applyAlignment="1">
      <alignment horizontal="left" vertical="center" indent="1"/>
    </xf>
    <xf numFmtId="0" fontId="13" fillId="0" borderId="14" xfId="3" applyFont="1" applyBorder="1" applyAlignment="1">
      <alignment horizontal="left" vertical="center" indent="1"/>
    </xf>
    <xf numFmtId="0" fontId="13" fillId="0" borderId="15" xfId="3" applyFont="1" applyBorder="1" applyAlignment="1">
      <alignment horizontal="left" vertical="center" indent="1"/>
    </xf>
    <xf numFmtId="0" fontId="9" fillId="4" borderId="17" xfId="3" applyFont="1" applyFill="1" applyBorder="1" applyAlignment="1">
      <alignment horizontal="left" vertical="center" indent="1"/>
    </xf>
    <xf numFmtId="0" fontId="9" fillId="4" borderId="18" xfId="3" applyFont="1" applyFill="1" applyBorder="1" applyAlignment="1">
      <alignment horizontal="left" vertical="center" indent="1"/>
    </xf>
    <xf numFmtId="0" fontId="13" fillId="0" borderId="19" xfId="3" applyFont="1" applyBorder="1" applyAlignment="1">
      <alignment horizontal="left" vertical="center" indent="1"/>
    </xf>
    <xf numFmtId="14" fontId="9" fillId="4" borderId="20" xfId="3" applyNumberFormat="1" applyFont="1" applyFill="1" applyBorder="1" applyAlignment="1">
      <alignment horizontal="left" vertical="center" indent="1"/>
    </xf>
    <xf numFmtId="0" fontId="13" fillId="0" borderId="20" xfId="3" applyFont="1" applyBorder="1" applyAlignment="1">
      <alignment horizontal="left" vertical="center" indent="1"/>
    </xf>
    <xf numFmtId="0" fontId="13" fillId="0" borderId="21" xfId="3" applyFont="1" applyBorder="1" applyAlignment="1">
      <alignment horizontal="left" vertical="center" indent="1"/>
    </xf>
    <xf numFmtId="164" fontId="14" fillId="6" borderId="22" xfId="3" applyNumberFormat="1" applyFont="1" applyFill="1" applyBorder="1" applyAlignment="1">
      <alignment horizontal="center" vertical="center"/>
    </xf>
    <xf numFmtId="164" fontId="14" fillId="6" borderId="6" xfId="3" applyNumberFormat="1" applyFont="1" applyFill="1" applyBorder="1" applyAlignment="1">
      <alignment horizontal="center" vertical="center"/>
    </xf>
    <xf numFmtId="164" fontId="14" fillId="6" borderId="7" xfId="3" applyNumberFormat="1" applyFont="1" applyFill="1" applyBorder="1" applyAlignment="1">
      <alignment horizontal="center" vertical="center"/>
    </xf>
    <xf numFmtId="164" fontId="14" fillId="6" borderId="5" xfId="3" applyNumberFormat="1" applyFont="1" applyFill="1" applyBorder="1" applyAlignment="1">
      <alignment horizontal="center" vertical="center"/>
    </xf>
    <xf numFmtId="164" fontId="14" fillId="6" borderId="23" xfId="3" applyNumberFormat="1" applyFont="1" applyFill="1" applyBorder="1" applyAlignment="1">
      <alignment horizontal="center" vertical="center"/>
    </xf>
    <xf numFmtId="0" fontId="9" fillId="4" borderId="5" xfId="3" applyFont="1" applyFill="1" applyBorder="1" applyAlignment="1">
      <alignment horizontal="left" vertical="center" indent="1"/>
    </xf>
    <xf numFmtId="0" fontId="9" fillId="4" borderId="6" xfId="3" applyFont="1" applyFill="1" applyBorder="1" applyAlignment="1">
      <alignment horizontal="left" vertical="center" indent="1"/>
    </xf>
    <xf numFmtId="0" fontId="13" fillId="0" borderId="7" xfId="3" applyFont="1" applyBorder="1" applyAlignment="1">
      <alignment horizontal="left" vertical="center" indent="1"/>
    </xf>
    <xf numFmtId="0" fontId="9" fillId="4" borderId="8" xfId="3" applyFont="1" applyFill="1" applyBorder="1" applyAlignment="1">
      <alignment horizontal="left" vertical="center" indent="1"/>
    </xf>
    <xf numFmtId="0" fontId="13" fillId="0" borderId="8" xfId="3" applyFont="1" applyBorder="1" applyAlignment="1">
      <alignment horizontal="left" vertical="center" indent="1"/>
    </xf>
    <xf numFmtId="0" fontId="13" fillId="0" borderId="9" xfId="3" applyFont="1" applyBorder="1" applyAlignment="1">
      <alignment horizontal="left" vertical="center" indent="1"/>
    </xf>
    <xf numFmtId="0" fontId="9" fillId="4" borderId="14" xfId="3" applyFont="1" applyFill="1" applyBorder="1" applyAlignment="1">
      <alignment horizontal="left" vertical="center" indent="1"/>
    </xf>
    <xf numFmtId="0" fontId="4" fillId="0" borderId="0" xfId="1" applyFont="1" applyAlignment="1">
      <alignment horizontal="center" vertical="center"/>
    </xf>
    <xf numFmtId="0" fontId="6" fillId="0" borderId="0" xfId="1" applyFont="1" applyAlignment="1">
      <alignment horizontal="center" vertical="center"/>
    </xf>
    <xf numFmtId="0" fontId="8" fillId="4" borderId="0" xfId="2" applyFont="1" applyFill="1" applyAlignment="1">
      <alignment horizontal="right" vertical="center"/>
    </xf>
    <xf numFmtId="0" fontId="9" fillId="4" borderId="0" xfId="2" applyFont="1" applyFill="1" applyAlignment="1">
      <alignment vertical="center" wrapText="1"/>
    </xf>
    <xf numFmtId="0" fontId="7" fillId="4" borderId="0" xfId="2" applyFill="1" applyAlignment="1">
      <alignment vertical="center" wrapText="1"/>
    </xf>
    <xf numFmtId="164" fontId="11" fillId="5" borderId="14" xfId="3" applyNumberFormat="1" applyFont="1" applyFill="1" applyBorder="1" applyAlignment="1">
      <alignment vertical="center"/>
    </xf>
    <xf numFmtId="0" fontId="8" fillId="0" borderId="14" xfId="1" applyFont="1" applyBorder="1" applyAlignment="1">
      <alignment horizontal="center" vertical="center" wrapText="1"/>
    </xf>
    <xf numFmtId="164" fontId="11" fillId="5" borderId="34" xfId="3" applyNumberFormat="1" applyFont="1" applyFill="1" applyBorder="1" applyAlignment="1">
      <alignment horizontal="center" vertical="center"/>
    </xf>
    <xf numFmtId="164" fontId="11" fillId="5" borderId="35" xfId="3" applyNumberFormat="1" applyFont="1" applyFill="1" applyBorder="1" applyAlignment="1">
      <alignment horizontal="center" vertical="center"/>
    </xf>
    <xf numFmtId="164" fontId="11" fillId="5" borderId="36" xfId="3" applyNumberFormat="1" applyFont="1" applyFill="1" applyBorder="1" applyAlignment="1">
      <alignment horizontal="center" vertical="center"/>
    </xf>
    <xf numFmtId="164" fontId="11" fillId="5" borderId="34" xfId="3" applyNumberFormat="1" applyFont="1" applyFill="1" applyBorder="1" applyAlignment="1">
      <alignment vertical="center"/>
    </xf>
    <xf numFmtId="0" fontId="1" fillId="0" borderId="35" xfId="1" applyBorder="1">
      <alignment vertical="center"/>
    </xf>
    <xf numFmtId="0" fontId="1" fillId="0" borderId="36" xfId="1" applyBorder="1">
      <alignment vertical="center"/>
    </xf>
    <xf numFmtId="0" fontId="12" fillId="0" borderId="35" xfId="3" applyFont="1" applyBorder="1" applyAlignment="1">
      <alignment vertical="center"/>
    </xf>
    <xf numFmtId="0" fontId="12" fillId="0" borderId="36" xfId="3" applyFont="1" applyBorder="1" applyAlignment="1">
      <alignment vertical="center"/>
    </xf>
    <xf numFmtId="0" fontId="8" fillId="0" borderId="38" xfId="1" applyFont="1" applyBorder="1" applyAlignment="1">
      <alignment horizontal="center" vertical="center" wrapText="1"/>
    </xf>
    <xf numFmtId="0" fontId="8" fillId="0" borderId="40" xfId="1" applyFont="1" applyBorder="1" applyAlignment="1">
      <alignment horizontal="center" vertical="center" wrapText="1"/>
    </xf>
    <xf numFmtId="0" fontId="8" fillId="0" borderId="8" xfId="1" applyFont="1" applyBorder="1" applyAlignment="1">
      <alignment horizontal="center" vertical="center" wrapText="1"/>
    </xf>
    <xf numFmtId="0" fontId="13" fillId="0" borderId="37" xfId="1" applyFont="1" applyBorder="1" applyAlignment="1">
      <alignment horizontal="center" vertical="center"/>
    </xf>
    <xf numFmtId="0" fontId="13" fillId="0" borderId="43" xfId="1" applyFont="1" applyBorder="1" applyAlignment="1">
      <alignment horizontal="center" vertical="center"/>
    </xf>
    <xf numFmtId="0" fontId="13" fillId="0" borderId="38" xfId="1" applyFont="1" applyBorder="1" applyAlignment="1">
      <alignment horizontal="center" vertical="center"/>
    </xf>
    <xf numFmtId="0" fontId="13" fillId="0" borderId="44" xfId="1" applyFont="1" applyBorder="1" applyAlignment="1">
      <alignment horizontal="center" vertical="center"/>
    </xf>
    <xf numFmtId="0" fontId="8" fillId="0" borderId="48" xfId="1" applyFont="1" applyBorder="1" applyAlignment="1">
      <alignment horizontal="center" vertical="center" wrapText="1"/>
    </xf>
    <xf numFmtId="0" fontId="8" fillId="0" borderId="45" xfId="1" applyFont="1" applyBorder="1" applyAlignment="1">
      <alignment horizontal="center" vertical="center" wrapText="1"/>
    </xf>
    <xf numFmtId="164" fontId="9" fillId="6" borderId="11" xfId="3" applyNumberFormat="1" applyFont="1" applyFill="1" applyBorder="1" applyAlignment="1">
      <alignment horizontal="center" vertical="center" shrinkToFit="1"/>
    </xf>
    <xf numFmtId="164" fontId="9" fillId="6" borderId="12" xfId="3" applyNumberFormat="1" applyFont="1" applyFill="1" applyBorder="1" applyAlignment="1">
      <alignment horizontal="center" vertical="center" shrinkToFit="1"/>
    </xf>
    <xf numFmtId="164" fontId="9" fillId="6" borderId="46" xfId="3" applyNumberFormat="1" applyFont="1" applyFill="1" applyBorder="1" applyAlignment="1">
      <alignment horizontal="center" vertical="center" shrinkToFit="1"/>
    </xf>
    <xf numFmtId="0" fontId="13" fillId="0" borderId="11" xfId="1" applyFont="1" applyBorder="1" applyAlignment="1">
      <alignment horizontal="center" vertical="center"/>
    </xf>
    <xf numFmtId="0" fontId="13" fillId="0" borderId="12" xfId="1" applyFont="1" applyBorder="1" applyAlignment="1">
      <alignment horizontal="center" vertical="center"/>
    </xf>
    <xf numFmtId="0" fontId="13" fillId="0" borderId="46" xfId="1" applyFont="1" applyBorder="1" applyAlignment="1">
      <alignment horizontal="center" vertical="center"/>
    </xf>
    <xf numFmtId="0" fontId="13" fillId="0" borderId="17" xfId="1" applyFont="1" applyBorder="1" applyAlignment="1">
      <alignment horizontal="center" vertical="center"/>
    </xf>
    <xf numFmtId="0" fontId="13" fillId="0" borderId="18" xfId="1" applyFont="1" applyBorder="1" applyAlignment="1">
      <alignment horizontal="center" vertical="center"/>
    </xf>
    <xf numFmtId="0" fontId="13" fillId="0" borderId="47" xfId="1" applyFont="1" applyBorder="1" applyAlignment="1">
      <alignment horizontal="center" vertical="center"/>
    </xf>
    <xf numFmtId="0" fontId="21" fillId="0" borderId="38" xfId="1" applyFont="1" applyBorder="1" applyAlignment="1">
      <alignment horizontal="center" vertical="center"/>
    </xf>
    <xf numFmtId="0" fontId="21" fillId="0" borderId="8" xfId="1" applyFont="1" applyBorder="1" applyAlignment="1">
      <alignment horizontal="center" vertical="center"/>
    </xf>
    <xf numFmtId="0" fontId="7" fillId="0" borderId="38" xfId="1" applyFont="1" applyBorder="1" applyAlignment="1">
      <alignment horizontal="center" vertical="center"/>
    </xf>
    <xf numFmtId="0" fontId="7" fillId="0" borderId="8" xfId="1" applyFont="1" applyBorder="1" applyAlignment="1">
      <alignment horizontal="center" vertical="center"/>
    </xf>
    <xf numFmtId="0" fontId="7" fillId="0" borderId="38" xfId="1" applyFont="1" applyBorder="1" applyAlignment="1">
      <alignment horizontal="left" vertical="center"/>
    </xf>
    <xf numFmtId="0" fontId="7" fillId="0" borderId="8" xfId="1" applyFont="1" applyBorder="1" applyAlignment="1">
      <alignment horizontal="left" vertical="center"/>
    </xf>
    <xf numFmtId="49" fontId="7" fillId="0" borderId="38" xfId="1" applyNumberFormat="1" applyFont="1" applyBorder="1" applyAlignment="1">
      <alignment horizontal="center" vertical="center"/>
    </xf>
    <xf numFmtId="49" fontId="7" fillId="0" borderId="8" xfId="1" applyNumberFormat="1" applyFont="1" applyBorder="1" applyAlignment="1">
      <alignment horizontal="center" vertical="center"/>
    </xf>
    <xf numFmtId="0" fontId="7" fillId="0" borderId="48" xfId="1" applyFont="1" applyBorder="1" applyAlignment="1">
      <alignment horizontal="left" vertical="center" wrapText="1"/>
    </xf>
    <xf numFmtId="0" fontId="7" fillId="0" borderId="9" xfId="1" applyFont="1" applyBorder="1" applyAlignment="1">
      <alignment horizontal="left" vertical="center" wrapText="1"/>
    </xf>
    <xf numFmtId="0" fontId="22" fillId="0" borderId="34" xfId="1" applyFont="1" applyBorder="1" applyAlignment="1">
      <alignment horizontal="center" vertical="top" wrapText="1"/>
    </xf>
    <xf numFmtId="0" fontId="22" fillId="0" borderId="10" xfId="1" applyFont="1" applyBorder="1" applyAlignment="1">
      <alignment horizontal="center" vertical="top" wrapText="1"/>
    </xf>
    <xf numFmtId="0" fontId="22" fillId="0" borderId="37" xfId="1" applyFont="1" applyBorder="1" applyAlignment="1">
      <alignment horizontal="center" vertical="top" wrapText="1"/>
    </xf>
    <xf numFmtId="0" fontId="7" fillId="0" borderId="60" xfId="1" applyFont="1" applyBorder="1" applyAlignment="1">
      <alignment horizontal="left" vertical="center" wrapText="1"/>
    </xf>
    <xf numFmtId="0" fontId="7" fillId="0" borderId="40" xfId="1" applyFont="1" applyBorder="1" applyAlignment="1">
      <alignment horizontal="left" vertical="center"/>
    </xf>
    <xf numFmtId="0" fontId="7" fillId="0" borderId="27" xfId="1" applyFont="1" applyBorder="1" applyAlignment="1">
      <alignment horizontal="center" vertical="center"/>
    </xf>
    <xf numFmtId="0" fontId="7" fillId="0" borderId="41" xfId="1" applyFont="1" applyBorder="1" applyAlignment="1">
      <alignment horizontal="center" vertical="center"/>
    </xf>
    <xf numFmtId="0" fontId="7" fillId="0" borderId="5" xfId="1" applyFont="1" applyBorder="1" applyAlignment="1">
      <alignment horizontal="center" vertical="center"/>
    </xf>
    <xf numFmtId="0" fontId="7" fillId="0" borderId="40" xfId="1" applyFont="1" applyBorder="1" applyAlignment="1">
      <alignment horizontal="center" vertical="center"/>
    </xf>
    <xf numFmtId="49" fontId="7" fillId="0" borderId="40" xfId="1" applyNumberFormat="1" applyFont="1" applyBorder="1" applyAlignment="1">
      <alignment horizontal="center" vertical="center"/>
    </xf>
    <xf numFmtId="0" fontId="7" fillId="10" borderId="38" xfId="1" applyFont="1" applyFill="1" applyBorder="1" applyAlignment="1">
      <alignment horizontal="left" vertical="center"/>
    </xf>
    <xf numFmtId="0" fontId="7" fillId="10" borderId="40" xfId="1" applyFont="1" applyFill="1" applyBorder="1" applyAlignment="1">
      <alignment horizontal="left" vertical="center"/>
    </xf>
    <xf numFmtId="0" fontId="7" fillId="10" borderId="8" xfId="1" applyFont="1" applyFill="1" applyBorder="1" applyAlignment="1">
      <alignment horizontal="left" vertical="center"/>
    </xf>
    <xf numFmtId="0" fontId="7" fillId="10" borderId="48" xfId="1" applyFont="1" applyFill="1" applyBorder="1" applyAlignment="1">
      <alignment horizontal="left" vertical="center" wrapText="1"/>
    </xf>
    <xf numFmtId="0" fontId="7" fillId="10" borderId="60" xfId="1" applyFont="1" applyFill="1" applyBorder="1" applyAlignment="1">
      <alignment horizontal="left" vertical="center" wrapText="1"/>
    </xf>
    <xf numFmtId="0" fontId="7" fillId="10" borderId="9" xfId="1" applyFont="1" applyFill="1" applyBorder="1" applyAlignment="1">
      <alignment horizontal="left" vertical="center" wrapText="1"/>
    </xf>
    <xf numFmtId="0" fontId="7" fillId="7" borderId="38" xfId="1" applyFont="1" applyFill="1" applyBorder="1" applyAlignment="1">
      <alignment horizontal="center" vertical="center"/>
    </xf>
    <xf numFmtId="0" fontId="7" fillId="7" borderId="40" xfId="1" applyFont="1" applyFill="1" applyBorder="1" applyAlignment="1">
      <alignment horizontal="center" vertical="center"/>
    </xf>
    <xf numFmtId="0" fontId="7" fillId="7" borderId="8" xfId="1" applyFont="1" applyFill="1" applyBorder="1" applyAlignment="1">
      <alignment horizontal="center" vertical="center"/>
    </xf>
    <xf numFmtId="0" fontId="7" fillId="0" borderId="49" xfId="1" applyFont="1" applyBorder="1" applyAlignment="1">
      <alignment horizontal="center" vertical="center"/>
    </xf>
    <xf numFmtId="0" fontId="22" fillId="7" borderId="58" xfId="1" applyFont="1" applyFill="1" applyBorder="1" applyAlignment="1">
      <alignment horizontal="center" vertical="top" wrapText="1"/>
    </xf>
    <xf numFmtId="0" fontId="22" fillId="7" borderId="39" xfId="1" applyFont="1" applyFill="1" applyBorder="1" applyAlignment="1">
      <alignment horizontal="center" vertical="top" wrapText="1"/>
    </xf>
    <xf numFmtId="0" fontId="7" fillId="0" borderId="14" xfId="1" applyFont="1" applyBorder="1" applyAlignment="1">
      <alignment horizontal="center" vertical="center"/>
    </xf>
    <xf numFmtId="0" fontId="22" fillId="7" borderId="43" xfId="1" applyFont="1" applyFill="1" applyBorder="1" applyAlignment="1">
      <alignment horizontal="center" vertical="top" wrapText="1"/>
    </xf>
    <xf numFmtId="0" fontId="7" fillId="0" borderId="59" xfId="1" applyFont="1" applyBorder="1" applyAlignment="1">
      <alignment horizontal="center" vertical="center"/>
    </xf>
    <xf numFmtId="0" fontId="7" fillId="0" borderId="11" xfId="1" applyFont="1" applyBorder="1" applyAlignment="1">
      <alignment horizontal="center" vertical="center"/>
    </xf>
    <xf numFmtId="0" fontId="7" fillId="0" borderId="35" xfId="1" applyFont="1" applyBorder="1" applyAlignment="1">
      <alignment horizontal="center" vertical="center"/>
    </xf>
    <xf numFmtId="0" fontId="7" fillId="0" borderId="35" xfId="1" applyFont="1" applyBorder="1" applyAlignment="1">
      <alignment horizontal="center" vertical="center" wrapText="1"/>
    </xf>
    <xf numFmtId="0" fontId="7" fillId="0" borderId="14" xfId="1" applyFont="1" applyBorder="1" applyAlignment="1">
      <alignment horizontal="center" vertical="center" wrapText="1"/>
    </xf>
    <xf numFmtId="49" fontId="7" fillId="0" borderId="49" xfId="1" applyNumberFormat="1" applyFont="1" applyBorder="1" applyAlignment="1">
      <alignment horizontal="center" vertical="center"/>
    </xf>
    <xf numFmtId="0" fontId="17" fillId="8" borderId="0" xfId="1" applyFont="1" applyFill="1" applyAlignment="1">
      <alignment horizontal="center" vertical="center"/>
    </xf>
    <xf numFmtId="0" fontId="22" fillId="7" borderId="52" xfId="1" applyFont="1" applyFill="1" applyBorder="1" applyAlignment="1">
      <alignment horizontal="center" vertical="center" wrapText="1"/>
    </xf>
    <xf numFmtId="0" fontId="22" fillId="7" borderId="54" xfId="1" applyFont="1" applyFill="1" applyBorder="1" applyAlignment="1">
      <alignment horizontal="center" vertical="center" wrapText="1"/>
    </xf>
    <xf numFmtId="0" fontId="22" fillId="7" borderId="57" xfId="1" applyFont="1" applyFill="1" applyBorder="1" applyAlignment="1">
      <alignment horizontal="center" vertical="center" wrapText="1"/>
    </xf>
    <xf numFmtId="0" fontId="7" fillId="7" borderId="49" xfId="1" applyFont="1" applyFill="1" applyBorder="1" applyAlignment="1">
      <alignment horizontal="center" vertical="center"/>
    </xf>
    <xf numFmtId="0" fontId="7" fillId="7" borderId="35" xfId="1" applyFont="1" applyFill="1" applyBorder="1" applyAlignment="1">
      <alignment horizontal="center" vertical="center"/>
    </xf>
    <xf numFmtId="0" fontId="7" fillId="7" borderId="14" xfId="1" applyFont="1" applyFill="1" applyBorder="1" applyAlignment="1">
      <alignment horizontal="center" vertical="center"/>
    </xf>
    <xf numFmtId="0" fontId="7" fillId="7" borderId="35" xfId="1" applyFont="1" applyFill="1" applyBorder="1" applyAlignment="1">
      <alignment horizontal="left" vertical="center" wrapText="1"/>
    </xf>
    <xf numFmtId="0" fontId="7" fillId="7" borderId="14" xfId="1" applyFont="1" applyFill="1" applyBorder="1" applyAlignment="1">
      <alignment horizontal="left" vertical="center" wrapText="1"/>
    </xf>
    <xf numFmtId="0" fontId="22" fillId="0" borderId="14" xfId="1" applyFont="1" applyBorder="1" applyAlignment="1">
      <alignment horizontal="center" vertical="top" wrapText="1"/>
    </xf>
    <xf numFmtId="0" fontId="7" fillId="0" borderId="58" xfId="1" applyFont="1" applyBorder="1" applyAlignment="1">
      <alignment horizontal="center" vertical="center" wrapText="1"/>
    </xf>
    <xf numFmtId="0" fontId="7" fillId="0" borderId="39" xfId="1" applyFont="1" applyBorder="1" applyAlignment="1">
      <alignment horizontal="center" vertical="center"/>
    </xf>
    <xf numFmtId="0" fontId="7" fillId="0" borderId="43" xfId="1" applyFont="1" applyBorder="1" applyAlignment="1">
      <alignment horizontal="center" vertical="center"/>
    </xf>
    <xf numFmtId="0" fontId="7" fillId="0" borderId="44" xfId="1" applyFont="1" applyBorder="1" applyAlignment="1">
      <alignment horizontal="center" vertical="center"/>
    </xf>
    <xf numFmtId="0" fontId="22" fillId="0" borderId="53" xfId="1" applyFont="1" applyBorder="1" applyAlignment="1">
      <alignment horizontal="center" vertical="center" wrapText="1"/>
    </xf>
    <xf numFmtId="0" fontId="22" fillId="0" borderId="56" xfId="1" applyFont="1" applyBorder="1" applyAlignment="1">
      <alignment horizontal="center" vertical="center" wrapText="1"/>
    </xf>
    <xf numFmtId="0" fontId="22" fillId="0" borderId="29" xfId="1" applyFont="1" applyBorder="1" applyAlignment="1">
      <alignment horizontal="center" vertical="center" wrapText="1"/>
    </xf>
    <xf numFmtId="0" fontId="7" fillId="0" borderId="20" xfId="1" applyFont="1" applyBorder="1" applyAlignment="1">
      <alignment horizontal="center" vertical="center"/>
    </xf>
    <xf numFmtId="0" fontId="34" fillId="0" borderId="14" xfId="1" applyFont="1" applyBorder="1" applyAlignment="1">
      <alignment horizontal="center" vertical="center"/>
    </xf>
    <xf numFmtId="0" fontId="34" fillId="0" borderId="20" xfId="1" applyFont="1" applyBorder="1" applyAlignment="1">
      <alignment horizontal="center" vertical="center"/>
    </xf>
    <xf numFmtId="49" fontId="7" fillId="0" borderId="15" xfId="1" quotePrefix="1" applyNumberFormat="1" applyFont="1" applyBorder="1" applyAlignment="1">
      <alignment horizontal="center" vertical="center"/>
    </xf>
    <xf numFmtId="49" fontId="7" fillId="0" borderId="21" xfId="1" quotePrefix="1" applyNumberFormat="1" applyFont="1" applyBorder="1" applyAlignment="1">
      <alignment horizontal="center" vertical="center"/>
    </xf>
    <xf numFmtId="0" fontId="38" fillId="0" borderId="0" xfId="1" applyFont="1" applyAlignment="1">
      <alignment horizontal="center" vertical="center"/>
    </xf>
    <xf numFmtId="0" fontId="40" fillId="12" borderId="0" xfId="1" applyFont="1" applyFill="1" applyAlignment="1">
      <alignment horizontal="center" vertical="center"/>
    </xf>
    <xf numFmtId="0" fontId="41" fillId="13" borderId="0" xfId="1" applyFont="1" applyFill="1" applyAlignment="1">
      <alignment horizontal="center" vertical="center"/>
    </xf>
    <xf numFmtId="0" fontId="45" fillId="19" borderId="68" xfId="1" applyFont="1" applyFill="1" applyBorder="1" applyAlignment="1">
      <alignment horizontal="center" vertical="center" wrapText="1"/>
    </xf>
    <xf numFmtId="0" fontId="45" fillId="19" borderId="57" xfId="1" applyFont="1" applyFill="1" applyBorder="1" applyAlignment="1">
      <alignment horizontal="center" vertical="center" wrapText="1"/>
    </xf>
    <xf numFmtId="0" fontId="43" fillId="0" borderId="70" xfId="1" applyFont="1" applyBorder="1" applyAlignment="1">
      <alignment horizontal="center" vertical="center"/>
    </xf>
    <xf numFmtId="0" fontId="43" fillId="0" borderId="72" xfId="1" applyFont="1" applyBorder="1" applyAlignment="1">
      <alignment horizontal="center" vertical="center"/>
    </xf>
    <xf numFmtId="0" fontId="43" fillId="0" borderId="6" xfId="1" applyFont="1" applyBorder="1" applyAlignment="1">
      <alignment horizontal="center" vertical="center"/>
    </xf>
    <xf numFmtId="0" fontId="43" fillId="0" borderId="23" xfId="1" applyFont="1" applyBorder="1" applyAlignment="1">
      <alignment horizontal="center" vertical="center"/>
    </xf>
    <xf numFmtId="0" fontId="43" fillId="0" borderId="47" xfId="1" applyFont="1" applyBorder="1" applyAlignment="1">
      <alignment horizontal="center" vertical="center"/>
    </xf>
    <xf numFmtId="0" fontId="43" fillId="0" borderId="18" xfId="1" applyFont="1" applyBorder="1" applyAlignment="1">
      <alignment horizontal="center" vertical="center"/>
    </xf>
    <xf numFmtId="0" fontId="43" fillId="0" borderId="19" xfId="1" applyFont="1" applyBorder="1" applyAlignment="1">
      <alignment horizontal="center" vertical="center" wrapText="1"/>
    </xf>
    <xf numFmtId="0" fontId="43" fillId="0" borderId="17" xfId="1" applyFont="1" applyBorder="1" applyAlignment="1">
      <alignment horizontal="center" vertical="center" wrapText="1"/>
    </xf>
    <xf numFmtId="0" fontId="45" fillId="19" borderId="70" xfId="1" applyFont="1" applyFill="1" applyBorder="1" applyAlignment="1">
      <alignment horizontal="center" vertical="center" wrapText="1"/>
    </xf>
    <xf numFmtId="0" fontId="45" fillId="19" borderId="73" xfId="1" applyFont="1" applyFill="1" applyBorder="1" applyAlignment="1">
      <alignment horizontal="center" vertical="center" wrapText="1"/>
    </xf>
    <xf numFmtId="0" fontId="45" fillId="19" borderId="72" xfId="1" applyFont="1" applyFill="1" applyBorder="1" applyAlignment="1">
      <alignment horizontal="center" vertical="center" wrapText="1"/>
    </xf>
    <xf numFmtId="0" fontId="43" fillId="0" borderId="6" xfId="1" applyFont="1" applyBorder="1" applyAlignment="1">
      <alignment horizontal="center" vertical="center" wrapText="1"/>
    </xf>
    <xf numFmtId="0" fontId="43" fillId="0" borderId="12" xfId="1" applyFont="1" applyBorder="1" applyAlignment="1">
      <alignment horizontal="center" vertical="center" wrapText="1"/>
    </xf>
    <xf numFmtId="0" fontId="43" fillId="0" borderId="25" xfId="1" applyFont="1" applyBorder="1" applyAlignment="1">
      <alignment horizontal="center" vertical="center" wrapText="1"/>
    </xf>
    <xf numFmtId="0" fontId="43" fillId="0" borderId="70" xfId="1" applyFont="1" applyBorder="1" applyAlignment="1">
      <alignment horizontal="center" vertical="center" wrapText="1"/>
    </xf>
    <xf numFmtId="0" fontId="43" fillId="0" borderId="73" xfId="1" applyFont="1" applyBorder="1" applyAlignment="1">
      <alignment horizontal="center" vertical="center" wrapText="1"/>
    </xf>
    <xf numFmtId="0" fontId="43" fillId="0" borderId="72" xfId="1" applyFont="1" applyBorder="1" applyAlignment="1">
      <alignment horizontal="center" vertical="center" wrapText="1"/>
    </xf>
    <xf numFmtId="0" fontId="43" fillId="0" borderId="34" xfId="1" applyFont="1" applyBorder="1" applyAlignment="1">
      <alignment horizontal="center" vertical="center" wrapText="1"/>
    </xf>
    <xf numFmtId="0" fontId="43" fillId="0" borderId="35" xfId="1" applyFont="1" applyBorder="1" applyAlignment="1">
      <alignment horizontal="center" vertical="center" wrapText="1"/>
    </xf>
    <xf numFmtId="0" fontId="43" fillId="0" borderId="36" xfId="1" applyFont="1" applyBorder="1" applyAlignment="1">
      <alignment horizontal="center" vertical="center" wrapText="1"/>
    </xf>
    <xf numFmtId="0" fontId="43" fillId="0" borderId="16" xfId="1" applyFont="1" applyBorder="1" applyAlignment="1">
      <alignment horizontal="center" vertical="center"/>
    </xf>
    <xf numFmtId="0" fontId="43" fillId="0" borderId="20" xfId="1" applyFont="1" applyBorder="1" applyAlignment="1">
      <alignment horizontal="center" vertical="center"/>
    </xf>
    <xf numFmtId="0" fontId="43" fillId="0" borderId="21" xfId="1" applyFont="1" applyBorder="1" applyAlignment="1">
      <alignment horizontal="center" vertical="center"/>
    </xf>
    <xf numFmtId="0" fontId="43" fillId="11" borderId="62" xfId="1" applyFont="1" applyFill="1" applyBorder="1" applyAlignment="1">
      <alignment horizontal="center" vertical="center" wrapText="1"/>
    </xf>
    <xf numFmtId="0" fontId="43" fillId="11" borderId="0" xfId="1" applyFont="1" applyFill="1" applyAlignment="1">
      <alignment horizontal="center" vertical="center" wrapText="1"/>
    </xf>
    <xf numFmtId="0" fontId="43" fillId="11" borderId="30" xfId="1" applyFont="1" applyFill="1" applyBorder="1" applyAlignment="1">
      <alignment horizontal="center" vertical="center" wrapText="1"/>
    </xf>
    <xf numFmtId="0" fontId="43" fillId="0" borderId="52" xfId="1" applyFont="1" applyBorder="1" applyAlignment="1">
      <alignment horizontal="center" vertical="center" wrapText="1"/>
    </xf>
    <xf numFmtId="0" fontId="43" fillId="0" borderId="71" xfId="1" applyFont="1" applyBorder="1" applyAlignment="1">
      <alignment horizontal="center" vertical="center" wrapText="1"/>
    </xf>
    <xf numFmtId="0" fontId="43" fillId="0" borderId="57" xfId="1" applyFont="1" applyBorder="1" applyAlignment="1">
      <alignment horizontal="center" vertical="center" wrapText="1"/>
    </xf>
    <xf numFmtId="0" fontId="43" fillId="0" borderId="74" xfId="1" applyFont="1" applyBorder="1" applyAlignment="1">
      <alignment horizontal="center" vertical="center" wrapText="1"/>
    </xf>
    <xf numFmtId="0" fontId="43" fillId="0" borderId="59" xfId="1" applyFont="1" applyBorder="1" applyAlignment="1">
      <alignment horizontal="center" vertical="center" wrapText="1"/>
    </xf>
    <xf numFmtId="0" fontId="43" fillId="0" borderId="13" xfId="1" applyFont="1" applyBorder="1" applyAlignment="1">
      <alignment horizontal="center" vertical="center" wrapText="1"/>
    </xf>
    <xf numFmtId="0" fontId="43" fillId="0" borderId="11" xfId="1" applyFont="1" applyBorder="1" applyAlignment="1">
      <alignment horizontal="center" vertical="center" wrapText="1"/>
    </xf>
    <xf numFmtId="0" fontId="43" fillId="11" borderId="13" xfId="1" applyFont="1" applyFill="1" applyBorder="1" applyAlignment="1">
      <alignment horizontal="center" vertical="center" wrapText="1"/>
    </xf>
    <xf numFmtId="0" fontId="43" fillId="11" borderId="11" xfId="1" applyFont="1" applyFill="1" applyBorder="1" applyAlignment="1">
      <alignment horizontal="center" vertical="center" wrapText="1"/>
    </xf>
    <xf numFmtId="0" fontId="43" fillId="0" borderId="37" xfId="1" applyFont="1" applyBorder="1" applyAlignment="1">
      <alignment horizontal="center" vertical="center" wrapText="1"/>
    </xf>
    <xf numFmtId="0" fontId="43" fillId="0" borderId="38" xfId="1" applyFont="1" applyBorder="1" applyAlignment="1">
      <alignment horizontal="center" vertical="center" wrapText="1"/>
    </xf>
    <xf numFmtId="0" fontId="43" fillId="0" borderId="48" xfId="1" applyFont="1" applyBorder="1" applyAlignment="1">
      <alignment horizontal="center" vertical="center" wrapText="1"/>
    </xf>
    <xf numFmtId="0" fontId="43" fillId="0" borderId="10" xfId="1" applyFont="1" applyBorder="1" applyAlignment="1">
      <alignment horizontal="center" vertical="center" wrapText="1"/>
    </xf>
    <xf numFmtId="0" fontId="43" fillId="0" borderId="14" xfId="1" applyFont="1" applyBorder="1" applyAlignment="1">
      <alignment horizontal="center" vertical="center" wrapText="1"/>
    </xf>
    <xf numFmtId="0" fontId="43" fillId="0" borderId="15" xfId="1" applyFont="1" applyBorder="1" applyAlignment="1">
      <alignment horizontal="center" vertical="center" wrapText="1"/>
    </xf>
    <xf numFmtId="0" fontId="43" fillId="0" borderId="16" xfId="1" applyFont="1" applyBorder="1" applyAlignment="1">
      <alignment horizontal="center" vertical="center" wrapText="1"/>
    </xf>
    <xf numFmtId="0" fontId="43" fillId="0" borderId="20" xfId="1" applyFont="1" applyBorder="1" applyAlignment="1">
      <alignment horizontal="center" vertical="center" wrapText="1"/>
    </xf>
    <xf numFmtId="0" fontId="43" fillId="0" borderId="21" xfId="1" applyFont="1" applyBorder="1" applyAlignment="1">
      <alignment horizontal="center" vertical="center" wrapText="1"/>
    </xf>
    <xf numFmtId="0" fontId="43" fillId="0" borderId="65" xfId="1" applyFont="1" applyBorder="1" applyAlignment="1">
      <alignment horizontal="center" vertical="center" wrapText="1"/>
    </xf>
    <xf numFmtId="0" fontId="43" fillId="0" borderId="66" xfId="1" applyFont="1" applyBorder="1" applyAlignment="1">
      <alignment horizontal="center" vertical="center" wrapText="1"/>
    </xf>
    <xf numFmtId="0" fontId="43" fillId="0" borderId="67" xfId="1" applyFont="1" applyBorder="1" applyAlignment="1">
      <alignment horizontal="center" vertical="center" wrapText="1"/>
    </xf>
    <xf numFmtId="0" fontId="43" fillId="0" borderId="7" xfId="1" applyFont="1" applyBorder="1" applyAlignment="1">
      <alignment horizontal="center" vertical="center" wrapText="1"/>
    </xf>
    <xf numFmtId="0" fontId="43" fillId="0" borderId="8" xfId="1" applyFont="1" applyBorder="1" applyAlignment="1">
      <alignment horizontal="center" vertical="center" wrapText="1"/>
    </xf>
    <xf numFmtId="0" fontId="43" fillId="0" borderId="5" xfId="1" applyFont="1" applyBorder="1" applyAlignment="1">
      <alignment horizontal="center" vertical="center" wrapText="1"/>
    </xf>
    <xf numFmtId="0" fontId="43" fillId="0" borderId="26" xfId="1" applyFont="1" applyBorder="1" applyAlignment="1">
      <alignment horizontal="center" vertical="center" wrapText="1"/>
    </xf>
    <xf numFmtId="0" fontId="43" fillId="0" borderId="27" xfId="1" applyFont="1" applyBorder="1" applyAlignment="1">
      <alignment horizontal="center" vertical="center" wrapText="1"/>
    </xf>
    <xf numFmtId="0" fontId="7" fillId="0" borderId="44" xfId="1" applyFont="1" applyBorder="1" applyAlignment="1">
      <alignment horizontal="left" vertical="center"/>
    </xf>
    <xf numFmtId="0" fontId="7" fillId="0" borderId="38" xfId="6" applyFont="1" applyBorder="1" applyAlignment="1">
      <alignment horizontal="center" vertical="center"/>
    </xf>
    <xf numFmtId="0" fontId="7" fillId="0" borderId="40" xfId="6" applyFont="1" applyBorder="1" applyAlignment="1">
      <alignment horizontal="center" vertical="center"/>
    </xf>
    <xf numFmtId="0" fontId="7" fillId="0" borderId="44" xfId="6" applyFont="1" applyBorder="1" applyAlignment="1">
      <alignment horizontal="center" vertical="center"/>
    </xf>
    <xf numFmtId="0" fontId="7" fillId="0" borderId="14" xfId="6" applyFont="1" applyBorder="1" applyAlignment="1">
      <alignment horizontal="center" vertical="center"/>
    </xf>
    <xf numFmtId="0" fontId="7" fillId="0" borderId="8" xfId="6" applyFont="1" applyBorder="1" applyAlignment="1">
      <alignment horizontal="center" vertical="center"/>
    </xf>
    <xf numFmtId="0" fontId="7" fillId="0" borderId="48" xfId="5" applyFont="1" applyBorder="1" applyAlignment="1">
      <alignment horizontal="center" vertical="center" wrapText="1" shrinkToFit="1"/>
    </xf>
    <xf numFmtId="0" fontId="7" fillId="0" borderId="60" xfId="5" applyFont="1" applyBorder="1" applyAlignment="1">
      <alignment horizontal="center" vertical="center" wrapText="1" shrinkToFit="1"/>
    </xf>
    <xf numFmtId="0" fontId="7" fillId="0" borderId="9" xfId="5" applyFont="1" applyBorder="1" applyAlignment="1">
      <alignment horizontal="center" vertical="center" wrapText="1" shrinkToFit="1"/>
    </xf>
    <xf numFmtId="0" fontId="7" fillId="7" borderId="38" xfId="6" applyFont="1" applyFill="1" applyBorder="1" applyAlignment="1">
      <alignment horizontal="center" vertical="center"/>
    </xf>
    <xf numFmtId="0" fontId="7" fillId="7" borderId="8" xfId="6" applyFont="1" applyFill="1" applyBorder="1" applyAlignment="1">
      <alignment horizontal="center" vertical="center"/>
    </xf>
    <xf numFmtId="0" fontId="24" fillId="0" borderId="48" xfId="5" quotePrefix="1" applyFont="1" applyBorder="1" applyAlignment="1">
      <alignment horizontal="left" vertical="center" wrapText="1" shrinkToFit="1"/>
    </xf>
    <xf numFmtId="0" fontId="24" fillId="0" borderId="9" xfId="5" quotePrefix="1" applyFont="1" applyBorder="1" applyAlignment="1">
      <alignment horizontal="left" vertical="center" wrapText="1" shrinkToFit="1"/>
    </xf>
    <xf numFmtId="0" fontId="7" fillId="0" borderId="14" xfId="6" quotePrefix="1" applyFont="1" applyBorder="1" applyAlignment="1">
      <alignment horizontal="center" vertical="center"/>
    </xf>
    <xf numFmtId="0" fontId="7" fillId="7" borderId="14" xfId="6" applyFont="1" applyFill="1" applyBorder="1" applyAlignment="1">
      <alignment horizontal="center" vertical="center"/>
    </xf>
    <xf numFmtId="0" fontId="7" fillId="7" borderId="40" xfId="6" applyFont="1" applyFill="1" applyBorder="1" applyAlignment="1">
      <alignment horizontal="center" vertical="center"/>
    </xf>
    <xf numFmtId="0" fontId="7" fillId="7" borderId="48" xfId="5" applyFont="1" applyFill="1" applyBorder="1" applyAlignment="1">
      <alignment horizontal="center" vertical="center" wrapText="1" shrinkToFit="1"/>
    </xf>
    <xf numFmtId="0" fontId="7" fillId="7" borderId="60" xfId="5" applyFont="1" applyFill="1" applyBorder="1" applyAlignment="1">
      <alignment horizontal="center" vertical="center" wrapText="1" shrinkToFit="1"/>
    </xf>
    <xf numFmtId="0" fontId="7" fillId="7" borderId="9" xfId="5" applyFont="1" applyFill="1" applyBorder="1" applyAlignment="1">
      <alignment horizontal="center" vertical="center" wrapText="1" shrinkToFit="1"/>
    </xf>
    <xf numFmtId="0" fontId="21" fillId="0" borderId="38" xfId="6" applyFont="1" applyBorder="1" applyAlignment="1">
      <alignment horizontal="center" vertical="center"/>
    </xf>
    <xf numFmtId="0" fontId="21" fillId="0" borderId="8" xfId="6" applyFont="1" applyBorder="1" applyAlignment="1">
      <alignment horizontal="center" vertical="center"/>
    </xf>
    <xf numFmtId="0" fontId="7" fillId="0" borderId="38" xfId="5" applyFont="1" applyBorder="1" applyAlignment="1">
      <alignment horizontal="left" vertical="center" wrapText="1" shrinkToFit="1"/>
    </xf>
    <xf numFmtId="0" fontId="7" fillId="0" borderId="8" xfId="5" applyFont="1" applyBorder="1" applyAlignment="1">
      <alignment horizontal="left" vertical="center" wrapText="1" shrinkToFit="1"/>
    </xf>
    <xf numFmtId="0" fontId="7" fillId="0" borderId="38" xfId="5" quotePrefix="1" applyFont="1" applyBorder="1" applyAlignment="1">
      <alignment horizontal="left" vertical="center" wrapText="1" shrinkToFit="1"/>
    </xf>
    <xf numFmtId="0" fontId="7" fillId="0" borderId="8" xfId="5" quotePrefix="1" applyFont="1" applyBorder="1" applyAlignment="1">
      <alignment horizontal="left" vertical="center" wrapText="1" shrinkToFit="1"/>
    </xf>
    <xf numFmtId="0" fontId="7" fillId="0" borderId="9" xfId="5" quotePrefix="1" applyFont="1" applyBorder="1" applyAlignment="1">
      <alignment horizontal="left" vertical="center" wrapText="1" shrinkToFit="1"/>
    </xf>
    <xf numFmtId="0" fontId="7" fillId="0" borderId="49" xfId="6" quotePrefix="1" applyFont="1" applyBorder="1" applyAlignment="1">
      <alignment horizontal="center" vertical="center"/>
    </xf>
    <xf numFmtId="0" fontId="7" fillId="0" borderId="40" xfId="6" quotePrefix="1" applyFont="1" applyBorder="1" applyAlignment="1">
      <alignment horizontal="center" vertical="center"/>
    </xf>
    <xf numFmtId="0" fontId="7" fillId="0" borderId="8" xfId="6" quotePrefix="1" applyFont="1" applyBorder="1" applyAlignment="1">
      <alignment horizontal="center" vertical="center"/>
    </xf>
    <xf numFmtId="0" fontId="7" fillId="0" borderId="51" xfId="5" applyFont="1" applyBorder="1" applyAlignment="1">
      <alignment horizontal="center" vertical="center" wrapText="1" shrinkToFit="1"/>
    </xf>
    <xf numFmtId="0" fontId="22" fillId="0" borderId="58" xfId="6" applyFont="1" applyBorder="1" applyAlignment="1">
      <alignment horizontal="center" vertical="top" wrapText="1"/>
    </xf>
    <xf numFmtId="0" fontId="22" fillId="0" borderId="39" xfId="6" applyFont="1" applyBorder="1" applyAlignment="1">
      <alignment horizontal="center" vertical="top" wrapText="1"/>
    </xf>
    <xf numFmtId="0" fontId="22" fillId="0" borderId="43" xfId="6" applyFont="1" applyBorder="1" applyAlignment="1">
      <alignment horizontal="center" vertical="top" wrapText="1"/>
    </xf>
    <xf numFmtId="0" fontId="7" fillId="0" borderId="35" xfId="6" applyFont="1" applyBorder="1" applyAlignment="1">
      <alignment horizontal="center" vertical="center"/>
    </xf>
    <xf numFmtId="49" fontId="7" fillId="0" borderId="35" xfId="1" applyNumberFormat="1" applyFont="1" applyBorder="1" applyAlignment="1">
      <alignment horizontal="center" vertical="center"/>
    </xf>
    <xf numFmtId="49" fontId="7" fillId="0" borderId="14" xfId="1" applyNumberFormat="1" applyFont="1" applyBorder="1" applyAlignment="1">
      <alignment horizontal="center" vertical="center"/>
    </xf>
    <xf numFmtId="0" fontId="7" fillId="0" borderId="14" xfId="6" quotePrefix="1" applyFont="1" applyBorder="1" applyAlignment="1">
      <alignment horizontal="left" vertical="center"/>
    </xf>
    <xf numFmtId="0" fontId="7" fillId="0" borderId="14" xfId="6" applyFont="1" applyBorder="1" applyAlignment="1">
      <alignment horizontal="left" vertical="center"/>
    </xf>
    <xf numFmtId="0" fontId="7" fillId="0" borderId="15" xfId="1" quotePrefix="1" applyFont="1" applyBorder="1" applyAlignment="1">
      <alignment horizontal="left" vertical="center" wrapText="1"/>
    </xf>
    <xf numFmtId="0" fontId="24" fillId="0" borderId="15" xfId="1" applyFont="1" applyBorder="1" applyAlignment="1">
      <alignment horizontal="left" vertical="center" wrapText="1"/>
    </xf>
    <xf numFmtId="0" fontId="7" fillId="0" borderId="38" xfId="6" applyFont="1" applyBorder="1" applyAlignment="1">
      <alignment horizontal="left" vertical="center"/>
    </xf>
    <xf numFmtId="0" fontId="7" fillId="0" borderId="8" xfId="6" applyFont="1" applyBorder="1" applyAlignment="1">
      <alignment horizontal="left" vertical="center"/>
    </xf>
    <xf numFmtId="0" fontId="7" fillId="0" borderId="38" xfId="6" quotePrefix="1" applyFont="1" applyBorder="1" applyAlignment="1">
      <alignment horizontal="center" vertical="center"/>
    </xf>
    <xf numFmtId="0" fontId="24" fillId="0" borderId="48" xfId="1" applyFont="1" applyBorder="1" applyAlignment="1">
      <alignment horizontal="left" vertical="center" wrapText="1"/>
    </xf>
    <xf numFmtId="0" fontId="24" fillId="0" borderId="9" xfId="1" applyFont="1" applyBorder="1" applyAlignment="1">
      <alignment horizontal="left" vertical="center" wrapText="1"/>
    </xf>
    <xf numFmtId="0" fontId="7" fillId="0" borderId="15" xfId="1" applyFont="1" applyBorder="1" applyAlignment="1">
      <alignment horizontal="left" vertical="center" wrapText="1"/>
    </xf>
    <xf numFmtId="0" fontId="17" fillId="8" borderId="0" xfId="6" applyFont="1" applyFill="1" applyAlignment="1">
      <alignment horizontal="center" vertical="center"/>
    </xf>
    <xf numFmtId="0" fontId="22" fillId="0" borderId="10" xfId="6" applyFont="1" applyBorder="1" applyAlignment="1">
      <alignment horizontal="center" vertical="top" wrapText="1"/>
    </xf>
    <xf numFmtId="0" fontId="22" fillId="0" borderId="37" xfId="6" applyFont="1" applyBorder="1" applyAlignment="1">
      <alignment horizontal="center" vertical="top" wrapText="1"/>
    </xf>
  </cellXfs>
  <cellStyles count="7">
    <cellStyle name="_(080626 R304) HD 배터리시스템 설계요구사양_LGC배포" xfId="4" xr:uid="{00000000-0005-0000-0000-000000000000}"/>
    <cellStyle name="Normal" xfId="0" builtinId="0"/>
    <cellStyle name="표준 10" xfId="1" xr:uid="{00000000-0005-0000-0000-000002000000}"/>
    <cellStyle name="표준 2" xfId="6" xr:uid="{00000000-0005-0000-0000-000003000000}"/>
    <cellStyle name="표준 2 2" xfId="2" xr:uid="{00000000-0005-0000-0000-000004000000}"/>
    <cellStyle name="표준_07-301_0209_STC_Diagnosis_v3.0" xfId="3" xr:uid="{00000000-0005-0000-0000-000005000000}"/>
    <cellStyle name="표준_Sheet1" xfId="5" xr:uid="{00000000-0005-0000-0000-000006000000}"/>
  </cellStyles>
  <dxfs count="4">
    <dxf>
      <fill>
        <patternFill>
          <bgColor theme="0" tint="-0.34998626667073579"/>
        </patternFill>
      </fill>
    </dxf>
    <dxf>
      <fill>
        <patternFill>
          <bgColor theme="0" tint="-0.499984740745262"/>
        </patternFill>
      </fill>
    </dxf>
    <dxf>
      <fill>
        <patternFill>
          <bgColor theme="0" tint="-0.34998626667073579"/>
        </patternFill>
      </fill>
    </dxf>
    <dxf>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0.Development\0.gen3\1.FlexBSC\0.github\Flex_BSC\Gen3BSC_Core\Document\Modbusmap\20250714_Gen3_BSC_Modbusmap_AG.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
      <sheetName val="Cover"/>
      <sheetName val="Description"/>
      <sheetName val="Common"/>
      <sheetName val="B2C(BSC Data)"/>
      <sheetName val="B2C(BSC Flag)"/>
      <sheetName val="B2C(Rack Data)"/>
      <sheetName val="C2B(Controller Data)"/>
      <sheetName val="Sequence"/>
      <sheetName val="Request Ack. Table"/>
      <sheetName val="Controller Data"/>
    </sheetNames>
    <sheetDataSet>
      <sheetData sheetId="0"/>
      <sheetData sheetId="1"/>
      <sheetData sheetId="2"/>
      <sheetData sheetId="3">
        <row r="18">
          <cell r="I18">
            <v>30000</v>
          </cell>
        </row>
        <row r="19">
          <cell r="I19">
            <v>30030</v>
          </cell>
        </row>
        <row r="20">
          <cell r="I20">
            <v>30035</v>
          </cell>
        </row>
      </sheetData>
      <sheetData sheetId="4">
        <row r="38">
          <cell r="I38">
            <v>30030</v>
          </cell>
        </row>
        <row r="63">
          <cell r="I63">
            <v>30031</v>
          </cell>
        </row>
        <row r="68">
          <cell r="I68">
            <v>30036</v>
          </cell>
        </row>
        <row r="77">
          <cell r="I77">
            <v>30037</v>
          </cell>
        </row>
        <row r="93">
          <cell r="I93">
            <v>30038</v>
          </cell>
        </row>
        <row r="230">
          <cell r="I230">
            <v>30055</v>
          </cell>
        </row>
        <row r="231">
          <cell r="I231">
            <v>30056</v>
          </cell>
        </row>
      </sheetData>
      <sheetData sheetId="5"/>
      <sheetData sheetId="6"/>
      <sheetData sheetId="7">
        <row r="19">
          <cell r="I19">
            <v>40010</v>
          </cell>
        </row>
        <row r="35">
          <cell r="I35">
            <v>40011</v>
          </cell>
        </row>
        <row r="36">
          <cell r="I36">
            <v>40012</v>
          </cell>
        </row>
        <row r="48">
          <cell r="I48">
            <v>40020</v>
          </cell>
        </row>
        <row r="49">
          <cell r="I49">
            <v>40021</v>
          </cell>
        </row>
      </sheetData>
      <sheetData sheetId="8"/>
      <sheetData sheetId="9"/>
      <sheetData sheetId="10"/>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B2:I32"/>
  <sheetViews>
    <sheetView showGridLines="0" workbookViewId="0">
      <selection activeCell="E33" sqref="E33"/>
    </sheetView>
  </sheetViews>
  <sheetFormatPr defaultColWidth="9" defaultRowHeight="13.5"/>
  <cols>
    <col min="1" max="1" width="5.42578125" style="2" customWidth="1"/>
    <col min="2" max="8" width="9" style="2"/>
    <col min="9" max="9" width="5.42578125" style="2" customWidth="1"/>
    <col min="10" max="16384" width="9" style="2"/>
  </cols>
  <sheetData>
    <row r="2" spans="2:8" ht="9.9499999999999993" customHeight="1">
      <c r="B2" s="1"/>
      <c r="C2" s="1"/>
      <c r="D2" s="1"/>
      <c r="E2" s="1"/>
      <c r="F2" s="1"/>
      <c r="G2" s="1"/>
      <c r="H2" s="1"/>
    </row>
    <row r="4" spans="2:8">
      <c r="B4" s="364" t="s">
        <v>851</v>
      </c>
      <c r="C4" s="364"/>
      <c r="D4" s="364"/>
      <c r="E4" s="364"/>
      <c r="F4" s="364"/>
      <c r="G4" s="364"/>
      <c r="H4" s="364"/>
    </row>
    <row r="5" spans="2:8">
      <c r="B5" s="364"/>
      <c r="C5" s="364"/>
      <c r="D5" s="364"/>
      <c r="E5" s="364"/>
      <c r="F5" s="364"/>
      <c r="G5" s="364"/>
      <c r="H5" s="364"/>
    </row>
    <row r="7" spans="2:8" ht="9.9499999999999993" customHeight="1">
      <c r="B7" s="3"/>
      <c r="C7" s="3"/>
      <c r="D7" s="3"/>
      <c r="E7" s="3"/>
      <c r="F7" s="3"/>
      <c r="G7" s="3"/>
      <c r="H7" s="3"/>
    </row>
    <row r="9" spans="2:8">
      <c r="D9" s="365" t="s">
        <v>854</v>
      </c>
      <c r="E9" s="365"/>
      <c r="F9" s="365"/>
    </row>
    <row r="10" spans="2:8">
      <c r="D10" s="365"/>
      <c r="E10" s="365"/>
      <c r="F10" s="365"/>
    </row>
    <row r="26" spans="2:9" ht="16.5">
      <c r="B26" s="366" t="s">
        <v>0</v>
      </c>
      <c r="C26" s="366"/>
      <c r="D26" s="366"/>
      <c r="E26" s="366"/>
      <c r="F26" s="366"/>
      <c r="G26" s="366"/>
      <c r="H26" s="366"/>
      <c r="I26" s="366"/>
    </row>
    <row r="27" spans="2:9" ht="16.5">
      <c r="B27" s="366" t="s">
        <v>852</v>
      </c>
      <c r="C27" s="366"/>
      <c r="D27" s="366"/>
      <c r="E27" s="366"/>
      <c r="F27" s="366"/>
      <c r="G27" s="366"/>
      <c r="H27" s="366"/>
      <c r="I27" s="366"/>
    </row>
    <row r="28" spans="2:9" ht="16.5">
      <c r="B28" s="366" t="s">
        <v>853</v>
      </c>
      <c r="C28" s="366"/>
      <c r="D28" s="366"/>
      <c r="E28" s="366"/>
      <c r="F28" s="366"/>
      <c r="G28" s="366"/>
      <c r="H28" s="366"/>
      <c r="I28" s="366"/>
    </row>
    <row r="30" spans="2:9" ht="16.5">
      <c r="B30" s="4" t="s">
        <v>1</v>
      </c>
    </row>
    <row r="32" spans="2:9" ht="247.5" customHeight="1">
      <c r="B32" s="367" t="s">
        <v>2</v>
      </c>
      <c r="C32" s="368"/>
      <c r="D32" s="368"/>
      <c r="E32" s="368"/>
      <c r="F32" s="368"/>
      <c r="G32" s="368"/>
      <c r="H32" s="368"/>
      <c r="I32" s="368"/>
    </row>
  </sheetData>
  <mergeCells count="6">
    <mergeCell ref="B32:I32"/>
    <mergeCell ref="B4:H5"/>
    <mergeCell ref="D9:F10"/>
    <mergeCell ref="B26:I26"/>
    <mergeCell ref="B27:I27"/>
    <mergeCell ref="B28:I28"/>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2:J36"/>
  <sheetViews>
    <sheetView showGridLines="0" topLeftCell="A11" zoomScaleNormal="100" workbookViewId="0">
      <selection activeCell="D33" sqref="D33:F33"/>
    </sheetView>
  </sheetViews>
  <sheetFormatPr defaultColWidth="9" defaultRowHeight="13.5"/>
  <cols>
    <col min="1" max="1" width="9" style="2"/>
    <col min="2" max="2" width="13.42578125" style="2" customWidth="1"/>
    <col min="3" max="3" width="11" style="2" bestFit="1" customWidth="1"/>
    <col min="4" max="4" width="17.5703125" style="2" customWidth="1"/>
    <col min="5" max="5" width="18" style="2" customWidth="1"/>
    <col min="6" max="6" width="24.85546875" style="2" customWidth="1"/>
    <col min="7" max="7" width="13.5703125" style="2" bestFit="1" customWidth="1"/>
    <col min="8" max="9" width="9" style="2"/>
    <col min="10" max="10" width="11.42578125" style="2" customWidth="1"/>
    <col min="11" max="16384" width="9" style="2"/>
  </cols>
  <sheetData>
    <row r="2" spans="2:10" ht="14.25" thickBot="1"/>
    <row r="3" spans="2:10" ht="20.25" thickBot="1">
      <c r="B3" s="336" t="s">
        <v>3</v>
      </c>
      <c r="C3" s="337"/>
      <c r="D3" s="337"/>
      <c r="E3" s="337"/>
      <c r="F3" s="337"/>
      <c r="G3" s="337"/>
      <c r="H3" s="337"/>
      <c r="I3" s="337"/>
      <c r="J3" s="338"/>
    </row>
    <row r="4" spans="2:10" ht="16.5">
      <c r="B4" s="5" t="s">
        <v>4</v>
      </c>
      <c r="C4" s="357" t="s">
        <v>5</v>
      </c>
      <c r="D4" s="358"/>
      <c r="E4" s="358"/>
      <c r="F4" s="359"/>
      <c r="G4" s="6" t="s">
        <v>6</v>
      </c>
      <c r="H4" s="360" t="s">
        <v>851</v>
      </c>
      <c r="I4" s="361"/>
      <c r="J4" s="362"/>
    </row>
    <row r="5" spans="2:10" ht="16.5">
      <c r="B5" s="7" t="s">
        <v>7</v>
      </c>
      <c r="C5" s="340" t="s">
        <v>0</v>
      </c>
      <c r="D5" s="341"/>
      <c r="E5" s="341"/>
      <c r="F5" s="342" t="s">
        <v>8</v>
      </c>
      <c r="G5" s="8" t="s">
        <v>8</v>
      </c>
      <c r="H5" s="363" t="s">
        <v>9</v>
      </c>
      <c r="I5" s="344"/>
      <c r="J5" s="345"/>
    </row>
    <row r="6" spans="2:10" ht="16.5">
      <c r="B6" s="7" t="s">
        <v>10</v>
      </c>
      <c r="C6" s="340" t="s">
        <v>855</v>
      </c>
      <c r="D6" s="341"/>
      <c r="E6" s="341"/>
      <c r="F6" s="342" t="s">
        <v>11</v>
      </c>
      <c r="G6" s="8" t="s">
        <v>12</v>
      </c>
      <c r="H6" s="363" t="s">
        <v>856</v>
      </c>
      <c r="I6" s="344"/>
      <c r="J6" s="345"/>
    </row>
    <row r="7" spans="2:10" ht="16.5">
      <c r="B7" s="7" t="s">
        <v>13</v>
      </c>
      <c r="C7" s="340" t="s">
        <v>857</v>
      </c>
      <c r="D7" s="341"/>
      <c r="E7" s="341"/>
      <c r="F7" s="342" t="s">
        <v>14</v>
      </c>
      <c r="G7" s="8" t="s">
        <v>15</v>
      </c>
      <c r="H7" s="343"/>
      <c r="I7" s="344"/>
      <c r="J7" s="345"/>
    </row>
    <row r="8" spans="2:10" ht="17.25" thickBot="1">
      <c r="B8" s="9" t="s">
        <v>11</v>
      </c>
      <c r="C8" s="346" t="s">
        <v>16</v>
      </c>
      <c r="D8" s="347"/>
      <c r="E8" s="347"/>
      <c r="F8" s="348" t="s">
        <v>14</v>
      </c>
      <c r="G8" s="10" t="s">
        <v>14</v>
      </c>
      <c r="H8" s="349"/>
      <c r="I8" s="350"/>
      <c r="J8" s="351"/>
    </row>
    <row r="9" spans="2:10" ht="15">
      <c r="B9" s="11"/>
      <c r="C9" s="12"/>
      <c r="D9" s="13"/>
      <c r="E9" s="13"/>
      <c r="F9" s="13"/>
      <c r="G9" s="13"/>
      <c r="H9" s="13"/>
      <c r="I9" s="13"/>
      <c r="J9" s="13"/>
    </row>
    <row r="10" spans="2:10" ht="15.75" thickBot="1">
      <c r="B10" s="11"/>
      <c r="C10" s="12"/>
      <c r="D10" s="13"/>
      <c r="E10" s="13"/>
      <c r="F10" s="13"/>
      <c r="G10" s="13"/>
      <c r="H10" s="13"/>
      <c r="I10" s="13"/>
      <c r="J10" s="13"/>
    </row>
    <row r="11" spans="2:10" ht="20.25" thickBot="1">
      <c r="B11" s="336" t="s">
        <v>17</v>
      </c>
      <c r="C11" s="337"/>
      <c r="D11" s="337"/>
      <c r="E11" s="337"/>
      <c r="F11" s="337"/>
      <c r="G11" s="337"/>
      <c r="H11" s="337"/>
      <c r="I11" s="337"/>
      <c r="J11" s="338"/>
    </row>
    <row r="12" spans="2:10" ht="15">
      <c r="B12" s="352" t="s">
        <v>18</v>
      </c>
      <c r="C12" s="353"/>
      <c r="D12" s="354"/>
      <c r="E12" s="355" t="s">
        <v>19</v>
      </c>
      <c r="F12" s="353"/>
      <c r="G12" s="354"/>
      <c r="H12" s="355" t="s">
        <v>20</v>
      </c>
      <c r="I12" s="353"/>
      <c r="J12" s="356"/>
    </row>
    <row r="13" spans="2:10">
      <c r="B13" s="325" t="s">
        <v>858</v>
      </c>
      <c r="C13" s="326"/>
      <c r="D13" s="327"/>
      <c r="E13" s="331" t="s">
        <v>36</v>
      </c>
      <c r="F13" s="326"/>
      <c r="G13" s="327"/>
      <c r="H13" s="333" t="s">
        <v>22</v>
      </c>
      <c r="I13" s="326"/>
      <c r="J13" s="334"/>
    </row>
    <row r="14" spans="2:10" ht="14.25" thickBot="1">
      <c r="B14" s="328"/>
      <c r="C14" s="329"/>
      <c r="D14" s="330"/>
      <c r="E14" s="332"/>
      <c r="F14" s="329"/>
      <c r="G14" s="330"/>
      <c r="H14" s="332"/>
      <c r="I14" s="329"/>
      <c r="J14" s="335"/>
    </row>
    <row r="15" spans="2:10" ht="15">
      <c r="B15" s="11"/>
      <c r="C15" s="12"/>
      <c r="D15" s="13"/>
      <c r="E15" s="13"/>
      <c r="F15" s="13"/>
      <c r="G15" s="13"/>
      <c r="H15" s="13"/>
      <c r="I15" s="13"/>
      <c r="J15" s="13"/>
    </row>
    <row r="16" spans="2:10" ht="15.75" thickBot="1">
      <c r="B16" s="11"/>
      <c r="C16" s="12"/>
      <c r="D16" s="13"/>
      <c r="E16" s="13"/>
      <c r="F16" s="13"/>
      <c r="G16" s="13"/>
      <c r="H16" s="13"/>
      <c r="I16" s="13"/>
      <c r="J16" s="13"/>
    </row>
    <row r="17" spans="2:10" ht="20.25" thickBot="1">
      <c r="B17" s="336" t="s">
        <v>23</v>
      </c>
      <c r="C17" s="337"/>
      <c r="D17" s="337"/>
      <c r="E17" s="337"/>
      <c r="F17" s="337"/>
      <c r="G17" s="337"/>
      <c r="H17" s="337"/>
      <c r="I17" s="337"/>
      <c r="J17" s="338"/>
    </row>
    <row r="18" spans="2:10" ht="15">
      <c r="B18" s="14" t="s">
        <v>24</v>
      </c>
      <c r="C18" s="15" t="s">
        <v>14</v>
      </c>
      <c r="D18" s="339" t="s">
        <v>25</v>
      </c>
      <c r="E18" s="339"/>
      <c r="F18" s="339"/>
      <c r="G18" s="16" t="s">
        <v>18</v>
      </c>
      <c r="H18" s="339" t="s">
        <v>26</v>
      </c>
      <c r="I18" s="339"/>
      <c r="J18" s="17" t="s">
        <v>27</v>
      </c>
    </row>
    <row r="19" spans="2:10" ht="15">
      <c r="B19" s="18" t="s">
        <v>28</v>
      </c>
      <c r="C19" s="19">
        <v>44972</v>
      </c>
      <c r="D19" s="302" t="s">
        <v>29</v>
      </c>
      <c r="E19" s="303"/>
      <c r="F19" s="303"/>
      <c r="G19" s="20" t="s">
        <v>21</v>
      </c>
      <c r="H19" s="304" t="s">
        <v>30</v>
      </c>
      <c r="I19" s="304"/>
      <c r="J19" s="21"/>
    </row>
    <row r="20" spans="2:10" ht="60">
      <c r="B20" s="18" t="s">
        <v>31</v>
      </c>
      <c r="C20" s="22">
        <v>45268</v>
      </c>
      <c r="D20" s="302" t="s">
        <v>859</v>
      </c>
      <c r="E20" s="303"/>
      <c r="F20" s="303"/>
      <c r="G20" s="20" t="s">
        <v>32</v>
      </c>
      <c r="H20" s="304" t="s">
        <v>30</v>
      </c>
      <c r="I20" s="304"/>
      <c r="J20" s="21"/>
    </row>
    <row r="21" spans="2:10" ht="15" customHeight="1">
      <c r="B21" s="307" t="s">
        <v>33</v>
      </c>
      <c r="C21" s="310">
        <v>45124</v>
      </c>
      <c r="D21" s="302" t="s">
        <v>34</v>
      </c>
      <c r="E21" s="303"/>
      <c r="F21" s="303"/>
      <c r="G21" s="313" t="s">
        <v>36</v>
      </c>
      <c r="H21" s="316" t="s">
        <v>30</v>
      </c>
      <c r="I21" s="317"/>
      <c r="J21" s="322"/>
    </row>
    <row r="22" spans="2:10" ht="15">
      <c r="B22" s="309"/>
      <c r="C22" s="312"/>
      <c r="D22" s="302" t="s">
        <v>35</v>
      </c>
      <c r="E22" s="303"/>
      <c r="F22" s="303"/>
      <c r="G22" s="315"/>
      <c r="H22" s="320"/>
      <c r="I22" s="321"/>
      <c r="J22" s="323"/>
    </row>
    <row r="23" spans="2:10" ht="15" customHeight="1">
      <c r="B23" s="307" t="s">
        <v>37</v>
      </c>
      <c r="C23" s="310">
        <v>45643</v>
      </c>
      <c r="D23" s="302" t="s">
        <v>38</v>
      </c>
      <c r="E23" s="303"/>
      <c r="F23" s="303"/>
      <c r="G23" s="313" t="s">
        <v>32</v>
      </c>
      <c r="H23" s="316" t="s">
        <v>30</v>
      </c>
      <c r="I23" s="317"/>
      <c r="J23" s="322"/>
    </row>
    <row r="24" spans="2:10" ht="15" customHeight="1">
      <c r="B24" s="308"/>
      <c r="C24" s="311"/>
      <c r="D24" s="302" t="s">
        <v>860</v>
      </c>
      <c r="E24" s="303"/>
      <c r="F24" s="303"/>
      <c r="G24" s="314"/>
      <c r="H24" s="318"/>
      <c r="I24" s="319"/>
      <c r="J24" s="324"/>
    </row>
    <row r="25" spans="2:10" ht="15" customHeight="1">
      <c r="B25" s="308"/>
      <c r="C25" s="312"/>
      <c r="D25" s="302" t="s">
        <v>39</v>
      </c>
      <c r="E25" s="303"/>
      <c r="F25" s="303"/>
      <c r="G25" s="314"/>
      <c r="H25" s="318"/>
      <c r="I25" s="319"/>
      <c r="J25" s="324"/>
    </row>
    <row r="26" spans="2:10" ht="15">
      <c r="B26" s="309"/>
      <c r="C26" s="22">
        <v>45660</v>
      </c>
      <c r="D26" s="302" t="s">
        <v>40</v>
      </c>
      <c r="E26" s="303"/>
      <c r="F26" s="303"/>
      <c r="G26" s="315"/>
      <c r="H26" s="320"/>
      <c r="I26" s="321"/>
      <c r="J26" s="323"/>
    </row>
    <row r="27" spans="2:10" ht="15">
      <c r="B27" s="307" t="s">
        <v>861</v>
      </c>
      <c r="C27" s="310">
        <v>45868</v>
      </c>
      <c r="D27" s="302" t="s">
        <v>41</v>
      </c>
      <c r="E27" s="303"/>
      <c r="F27" s="303"/>
      <c r="G27" s="313" t="s">
        <v>862</v>
      </c>
      <c r="H27" s="316" t="s">
        <v>863</v>
      </c>
      <c r="I27" s="317"/>
      <c r="J27" s="21"/>
    </row>
    <row r="28" spans="2:10" ht="15">
      <c r="B28" s="308"/>
      <c r="C28" s="311"/>
      <c r="D28" s="302" t="s">
        <v>42</v>
      </c>
      <c r="E28" s="303"/>
      <c r="F28" s="303"/>
      <c r="G28" s="314"/>
      <c r="H28" s="318"/>
      <c r="I28" s="319"/>
      <c r="J28" s="21"/>
    </row>
    <row r="29" spans="2:10" ht="15">
      <c r="B29" s="308"/>
      <c r="C29" s="311"/>
      <c r="D29" s="302" t="s">
        <v>43</v>
      </c>
      <c r="E29" s="303"/>
      <c r="F29" s="303"/>
      <c r="G29" s="314"/>
      <c r="H29" s="318"/>
      <c r="I29" s="319"/>
      <c r="J29" s="21"/>
    </row>
    <row r="30" spans="2:10" ht="15">
      <c r="B30" s="308"/>
      <c r="C30" s="311"/>
      <c r="D30" s="302" t="s">
        <v>44</v>
      </c>
      <c r="E30" s="303"/>
      <c r="F30" s="303"/>
      <c r="G30" s="314"/>
      <c r="H30" s="318"/>
      <c r="I30" s="319"/>
      <c r="J30" s="21"/>
    </row>
    <row r="31" spans="2:10" ht="15">
      <c r="B31" s="308"/>
      <c r="C31" s="311"/>
      <c r="D31" s="302" t="s">
        <v>864</v>
      </c>
      <c r="E31" s="303"/>
      <c r="F31" s="303"/>
      <c r="G31" s="314"/>
      <c r="H31" s="318"/>
      <c r="I31" s="319"/>
      <c r="J31" s="21"/>
    </row>
    <row r="32" spans="2:10" ht="15">
      <c r="B32" s="308"/>
      <c r="C32" s="311"/>
      <c r="D32" s="302" t="s">
        <v>865</v>
      </c>
      <c r="E32" s="303"/>
      <c r="F32" s="303"/>
      <c r="G32" s="314"/>
      <c r="H32" s="318"/>
      <c r="I32" s="319"/>
      <c r="J32" s="21"/>
    </row>
    <row r="33" spans="2:10" ht="15">
      <c r="B33" s="309"/>
      <c r="C33" s="312"/>
      <c r="D33" s="302" t="s">
        <v>45</v>
      </c>
      <c r="E33" s="303"/>
      <c r="F33" s="303"/>
      <c r="G33" s="315"/>
      <c r="H33" s="320"/>
      <c r="I33" s="321"/>
      <c r="J33" s="21"/>
    </row>
    <row r="34" spans="2:10" ht="15">
      <c r="B34" s="18"/>
      <c r="C34" s="19"/>
      <c r="D34" s="302"/>
      <c r="E34" s="303"/>
      <c r="F34" s="303"/>
      <c r="G34" s="20"/>
      <c r="H34" s="304"/>
      <c r="I34" s="304"/>
      <c r="J34" s="21"/>
    </row>
    <row r="35" spans="2:10" ht="15.75" customHeight="1">
      <c r="B35" s="18"/>
      <c r="C35" s="22"/>
      <c r="D35" s="302"/>
      <c r="E35" s="303"/>
      <c r="F35" s="303"/>
      <c r="G35" s="20"/>
      <c r="H35" s="305"/>
      <c r="I35" s="306"/>
      <c r="J35" s="23"/>
    </row>
    <row r="36" spans="2:10" ht="15.75" thickBot="1">
      <c r="B36" s="24"/>
      <c r="C36" s="25"/>
      <c r="D36" s="297"/>
      <c r="E36" s="298"/>
      <c r="F36" s="299"/>
      <c r="G36" s="26"/>
      <c r="H36" s="300"/>
      <c r="I36" s="301"/>
      <c r="J36" s="27"/>
    </row>
  </sheetData>
  <mergeCells count="58">
    <mergeCell ref="B12:D12"/>
    <mergeCell ref="E12:G12"/>
    <mergeCell ref="H12:J12"/>
    <mergeCell ref="B3:J3"/>
    <mergeCell ref="C4:F4"/>
    <mergeCell ref="H4:J4"/>
    <mergeCell ref="C5:F5"/>
    <mergeCell ref="H5:J5"/>
    <mergeCell ref="C6:F6"/>
    <mergeCell ref="H6:J6"/>
    <mergeCell ref="C7:F7"/>
    <mergeCell ref="H7:J7"/>
    <mergeCell ref="C8:F8"/>
    <mergeCell ref="H8:J8"/>
    <mergeCell ref="B11:J11"/>
    <mergeCell ref="B13:D14"/>
    <mergeCell ref="E13:G14"/>
    <mergeCell ref="H13:J14"/>
    <mergeCell ref="B17:J17"/>
    <mergeCell ref="D18:F18"/>
    <mergeCell ref="H18:I18"/>
    <mergeCell ref="D19:F19"/>
    <mergeCell ref="H19:I19"/>
    <mergeCell ref="D20:F20"/>
    <mergeCell ref="H20:I20"/>
    <mergeCell ref="B21:B22"/>
    <mergeCell ref="C21:C22"/>
    <mergeCell ref="D21:F21"/>
    <mergeCell ref="G21:G22"/>
    <mergeCell ref="H21:I22"/>
    <mergeCell ref="J21:J22"/>
    <mergeCell ref="D22:F22"/>
    <mergeCell ref="B23:B26"/>
    <mergeCell ref="C23:C25"/>
    <mergeCell ref="D23:F23"/>
    <mergeCell ref="G23:G26"/>
    <mergeCell ref="H23:I26"/>
    <mergeCell ref="J23:J26"/>
    <mergeCell ref="D24:F24"/>
    <mergeCell ref="D25:F25"/>
    <mergeCell ref="D26:F26"/>
    <mergeCell ref="B27:B33"/>
    <mergeCell ref="C27:C33"/>
    <mergeCell ref="D27:F27"/>
    <mergeCell ref="G27:G33"/>
    <mergeCell ref="D28:F28"/>
    <mergeCell ref="D29:F29"/>
    <mergeCell ref="D30:F30"/>
    <mergeCell ref="D31:F31"/>
    <mergeCell ref="D36:F36"/>
    <mergeCell ref="H36:I36"/>
    <mergeCell ref="D32:F32"/>
    <mergeCell ref="D33:F33"/>
    <mergeCell ref="D34:F34"/>
    <mergeCell ref="H34:I34"/>
    <mergeCell ref="D35:F35"/>
    <mergeCell ref="H35:I35"/>
    <mergeCell ref="H27:I33"/>
  </mergeCells>
  <phoneticPr fontId="3"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40"/>
  <sheetViews>
    <sheetView showGridLines="0" zoomScale="85" zoomScaleNormal="85" workbookViewId="0"/>
  </sheetViews>
  <sheetFormatPr defaultColWidth="9" defaultRowHeight="13.5"/>
  <cols>
    <col min="1" max="1" width="9" style="2"/>
    <col min="2" max="2" width="16.5703125" style="2" customWidth="1"/>
    <col min="3" max="3" width="19.7109375" style="2" bestFit="1" customWidth="1"/>
    <col min="4" max="9" width="16.5703125" style="2" customWidth="1"/>
    <col min="10" max="10" width="18.5703125" style="2" bestFit="1" customWidth="1"/>
    <col min="11" max="11" width="9" style="2"/>
    <col min="12" max="12" width="13.7109375" style="2" bestFit="1" customWidth="1"/>
    <col min="13" max="14" width="9" style="2"/>
    <col min="15" max="15" width="25.85546875" style="2" customWidth="1"/>
    <col min="16" max="16384" width="9" style="2"/>
  </cols>
  <sheetData>
    <row r="1" spans="2:10" ht="14.25" thickBot="1"/>
    <row r="2" spans="2:10" ht="19.5">
      <c r="B2" s="374" t="s">
        <v>46</v>
      </c>
      <c r="C2" s="377"/>
      <c r="D2" s="377"/>
      <c r="E2" s="378"/>
      <c r="G2" s="374" t="s">
        <v>47</v>
      </c>
      <c r="H2" s="377"/>
      <c r="I2" s="377"/>
      <c r="J2" s="378"/>
    </row>
    <row r="3" spans="2:10" ht="30">
      <c r="B3" s="28" t="s">
        <v>48</v>
      </c>
      <c r="C3" s="29" t="s">
        <v>49</v>
      </c>
      <c r="D3" s="30" t="s">
        <v>50</v>
      </c>
      <c r="E3" s="31" t="s">
        <v>51</v>
      </c>
      <c r="G3" s="28" t="s">
        <v>50</v>
      </c>
      <c r="H3" s="388" t="s">
        <v>52</v>
      </c>
      <c r="I3" s="389"/>
      <c r="J3" s="390"/>
    </row>
    <row r="4" spans="2:10" ht="16.5">
      <c r="B4" s="32">
        <v>16</v>
      </c>
      <c r="C4" s="33" t="s">
        <v>53</v>
      </c>
      <c r="D4" s="33">
        <v>32767</v>
      </c>
      <c r="E4" s="34" t="s">
        <v>54</v>
      </c>
      <c r="G4" s="32" t="s">
        <v>55</v>
      </c>
      <c r="H4" s="391" t="s">
        <v>56</v>
      </c>
      <c r="I4" s="392"/>
      <c r="J4" s="393"/>
    </row>
    <row r="5" spans="2:10" ht="16.5">
      <c r="B5" s="32">
        <v>16</v>
      </c>
      <c r="C5" s="33" t="s">
        <v>53</v>
      </c>
      <c r="D5" s="33">
        <v>-32768</v>
      </c>
      <c r="E5" s="34" t="s">
        <v>57</v>
      </c>
      <c r="G5" s="32" t="s">
        <v>58</v>
      </c>
      <c r="H5" s="391" t="s">
        <v>59</v>
      </c>
      <c r="I5" s="392"/>
      <c r="J5" s="393"/>
    </row>
    <row r="6" spans="2:10" ht="17.25" thickBot="1">
      <c r="B6" s="36">
        <v>16</v>
      </c>
      <c r="C6" s="37" t="s">
        <v>60</v>
      </c>
      <c r="D6" s="37">
        <v>65535</v>
      </c>
      <c r="E6" s="38" t="s">
        <v>61</v>
      </c>
      <c r="G6" s="36" t="s">
        <v>62</v>
      </c>
      <c r="H6" s="394" t="s">
        <v>63</v>
      </c>
      <c r="I6" s="395"/>
      <c r="J6" s="396"/>
    </row>
    <row r="8" spans="2:10" ht="14.25" thickBot="1"/>
    <row r="9" spans="2:10" ht="19.5">
      <c r="B9" s="371" t="s">
        <v>64</v>
      </c>
      <c r="C9" s="372"/>
      <c r="D9" s="372"/>
      <c r="E9" s="372"/>
      <c r="F9" s="372"/>
      <c r="G9" s="372"/>
      <c r="H9" s="372"/>
      <c r="I9" s="372"/>
      <c r="J9" s="373"/>
    </row>
    <row r="10" spans="2:10" ht="15">
      <c r="B10" s="28"/>
      <c r="C10" s="29" t="s">
        <v>65</v>
      </c>
      <c r="D10" s="30" t="s">
        <v>66</v>
      </c>
      <c r="E10" s="30" t="s">
        <v>67</v>
      </c>
      <c r="F10" s="39" t="s">
        <v>68</v>
      </c>
      <c r="G10" s="39" t="s">
        <v>69</v>
      </c>
      <c r="H10" s="39" t="s">
        <v>70</v>
      </c>
      <c r="I10" s="39" t="s">
        <v>71</v>
      </c>
      <c r="J10" s="40" t="s">
        <v>72</v>
      </c>
    </row>
    <row r="11" spans="2:10" ht="16.5">
      <c r="B11" s="28" t="s">
        <v>73</v>
      </c>
      <c r="C11" s="33">
        <v>7</v>
      </c>
      <c r="D11" s="33">
        <v>6</v>
      </c>
      <c r="E11" s="33">
        <v>5</v>
      </c>
      <c r="F11" s="33">
        <v>4</v>
      </c>
      <c r="G11" s="33">
        <v>3</v>
      </c>
      <c r="H11" s="33">
        <v>2</v>
      </c>
      <c r="I11" s="33">
        <v>1</v>
      </c>
      <c r="J11" s="34">
        <v>0</v>
      </c>
    </row>
    <row r="12" spans="2:10" ht="17.25" thickBot="1">
      <c r="B12" s="41" t="s">
        <v>74</v>
      </c>
      <c r="C12" s="37">
        <v>15</v>
      </c>
      <c r="D12" s="37">
        <v>14</v>
      </c>
      <c r="E12" s="37">
        <v>13</v>
      </c>
      <c r="F12" s="37">
        <v>12</v>
      </c>
      <c r="G12" s="37">
        <v>11</v>
      </c>
      <c r="H12" s="37">
        <v>10</v>
      </c>
      <c r="I12" s="37">
        <v>9</v>
      </c>
      <c r="J12" s="38">
        <v>8</v>
      </c>
    </row>
    <row r="15" spans="2:10" ht="19.5" thickBot="1">
      <c r="B15" s="42" t="s">
        <v>75</v>
      </c>
      <c r="G15" s="42" t="s">
        <v>76</v>
      </c>
    </row>
    <row r="16" spans="2:10" ht="19.5">
      <c r="B16" s="374" t="s">
        <v>77</v>
      </c>
      <c r="C16" s="375"/>
      <c r="D16" s="375"/>
      <c r="E16" s="376"/>
      <c r="G16" s="374" t="s">
        <v>78</v>
      </c>
      <c r="H16" s="377"/>
      <c r="I16" s="377"/>
      <c r="J16" s="378"/>
    </row>
    <row r="17" spans="2:10" ht="15">
      <c r="B17" s="39" t="s">
        <v>79</v>
      </c>
      <c r="C17" s="29" t="s">
        <v>80</v>
      </c>
      <c r="D17" s="30" t="s">
        <v>81</v>
      </c>
      <c r="E17" s="30" t="s">
        <v>82</v>
      </c>
      <c r="G17" s="28" t="s">
        <v>79</v>
      </c>
      <c r="H17" s="29" t="s">
        <v>80</v>
      </c>
      <c r="I17" s="30" t="s">
        <v>81</v>
      </c>
      <c r="J17" s="31" t="s">
        <v>82</v>
      </c>
    </row>
    <row r="18" spans="2:10" ht="16.5" customHeight="1">
      <c r="B18" s="43" t="s">
        <v>83</v>
      </c>
      <c r="C18" s="43">
        <v>30000</v>
      </c>
      <c r="D18" s="43">
        <f>C18 + 30 - 1</f>
        <v>30029</v>
      </c>
      <c r="E18" s="379" t="s">
        <v>84</v>
      </c>
      <c r="G18" s="382" t="s">
        <v>85</v>
      </c>
      <c r="H18" s="384">
        <v>40000</v>
      </c>
      <c r="I18" s="384">
        <v>40200</v>
      </c>
      <c r="J18" s="386" t="s">
        <v>86</v>
      </c>
    </row>
    <row r="19" spans="2:10" ht="17.25" thickBot="1">
      <c r="B19" s="43" t="s">
        <v>87</v>
      </c>
      <c r="C19" s="43">
        <f>D18+1</f>
        <v>30030</v>
      </c>
      <c r="D19" s="43">
        <f>C19+5-1</f>
        <v>30034</v>
      </c>
      <c r="E19" s="380"/>
      <c r="G19" s="383"/>
      <c r="H19" s="385"/>
      <c r="I19" s="385"/>
      <c r="J19" s="387"/>
    </row>
    <row r="20" spans="2:10" ht="16.5">
      <c r="B20" s="43" t="s">
        <v>88</v>
      </c>
      <c r="C20" s="43">
        <f>D19+1</f>
        <v>30035</v>
      </c>
      <c r="D20" s="43">
        <f>C20+35-1</f>
        <v>30069</v>
      </c>
      <c r="E20" s="380"/>
    </row>
    <row r="21" spans="2:10" ht="16.5" customHeight="1">
      <c r="B21" s="43" t="s">
        <v>89</v>
      </c>
      <c r="C21" s="45">
        <f>D20+1</f>
        <v>30070</v>
      </c>
      <c r="D21" s="46">
        <f>C21+100-1</f>
        <v>30169</v>
      </c>
      <c r="E21" s="381"/>
    </row>
    <row r="23" spans="2:10" ht="19.5">
      <c r="B23" s="369" t="s">
        <v>90</v>
      </c>
      <c r="C23" s="369"/>
      <c r="D23" s="369"/>
      <c r="E23" s="369"/>
    </row>
    <row r="24" spans="2:10" ht="16.5" customHeight="1">
      <c r="B24" s="47" t="s">
        <v>79</v>
      </c>
      <c r="C24" s="48" t="s">
        <v>80</v>
      </c>
      <c r="D24" s="49" t="s">
        <v>81</v>
      </c>
      <c r="E24" s="30" t="s">
        <v>82</v>
      </c>
      <c r="I24" s="50"/>
    </row>
    <row r="25" spans="2:10" ht="16.5">
      <c r="B25" s="51" t="s">
        <v>91</v>
      </c>
      <c r="C25" s="44">
        <f>30170</f>
        <v>30170</v>
      </c>
      <c r="D25" s="52">
        <f>C25+50-1</f>
        <v>30219</v>
      </c>
      <c r="E25" s="370" t="s">
        <v>84</v>
      </c>
    </row>
    <row r="26" spans="2:10" ht="16.5">
      <c r="B26" s="53" t="s">
        <v>92</v>
      </c>
      <c r="C26" s="54">
        <f>D25+1</f>
        <v>30220</v>
      </c>
      <c r="D26" s="55">
        <f>C26+100-1</f>
        <v>30319</v>
      </c>
      <c r="E26" s="370"/>
    </row>
    <row r="27" spans="2:10" ht="16.5">
      <c r="B27" s="56" t="s">
        <v>93</v>
      </c>
      <c r="C27" s="44">
        <f>D26+1</f>
        <v>30320</v>
      </c>
      <c r="D27" s="52">
        <f>C27+50-1</f>
        <v>30369</v>
      </c>
      <c r="E27" s="370"/>
    </row>
    <row r="28" spans="2:10" ht="16.5">
      <c r="B28" s="57" t="s">
        <v>94</v>
      </c>
      <c r="C28" s="58">
        <f>D27+1</f>
        <v>30370</v>
      </c>
      <c r="D28" s="59">
        <f>C28+100-1</f>
        <v>30469</v>
      </c>
      <c r="E28" s="370"/>
    </row>
    <row r="29" spans="2:10" ht="49.5">
      <c r="B29" s="60" t="s">
        <v>95</v>
      </c>
      <c r="C29" s="61" t="s">
        <v>96</v>
      </c>
      <c r="D29" s="62" t="s">
        <v>97</v>
      </c>
      <c r="E29" s="370"/>
    </row>
    <row r="30" spans="2:10" ht="16.5">
      <c r="B30" s="35" t="s">
        <v>866</v>
      </c>
      <c r="C30" s="33">
        <f>30170 + (79-1) * 150</f>
        <v>41870</v>
      </c>
      <c r="D30" s="63">
        <f>C30+150-1</f>
        <v>42019</v>
      </c>
      <c r="E30" s="370"/>
    </row>
    <row r="31" spans="2:10" ht="16.5">
      <c r="B31" s="35" t="s">
        <v>867</v>
      </c>
      <c r="C31" s="33">
        <f>30170 + (80-1) * 150</f>
        <v>42020</v>
      </c>
      <c r="D31" s="63">
        <f>C31+150-1</f>
        <v>42169</v>
      </c>
      <c r="E31" s="370"/>
    </row>
    <row r="33" spans="2:9" ht="19.5">
      <c r="B33" s="369" t="s">
        <v>98</v>
      </c>
      <c r="C33" s="369"/>
      <c r="D33" s="369"/>
      <c r="E33" s="369"/>
    </row>
    <row r="34" spans="2:9" ht="16.5" customHeight="1">
      <c r="B34" s="47" t="s">
        <v>79</v>
      </c>
      <c r="C34" s="48" t="s">
        <v>80</v>
      </c>
      <c r="D34" s="49" t="s">
        <v>81</v>
      </c>
      <c r="E34" s="30" t="s">
        <v>82</v>
      </c>
      <c r="I34" s="50"/>
    </row>
    <row r="35" spans="2:9" ht="16.5">
      <c r="B35" s="51" t="s">
        <v>99</v>
      </c>
      <c r="C35" s="44">
        <v>1</v>
      </c>
      <c r="D35" s="52" t="s">
        <v>100</v>
      </c>
      <c r="E35" s="370" t="s">
        <v>101</v>
      </c>
    </row>
    <row r="36" spans="2:9" ht="16.5">
      <c r="B36" s="56" t="s">
        <v>102</v>
      </c>
      <c r="C36" s="44" t="s">
        <v>103</v>
      </c>
      <c r="D36" s="52" t="s">
        <v>104</v>
      </c>
      <c r="E36" s="370"/>
    </row>
    <row r="37" spans="2:9" ht="16.5">
      <c r="B37" s="35" t="s">
        <v>105</v>
      </c>
      <c r="C37" s="33" t="s">
        <v>106</v>
      </c>
      <c r="D37" s="63" t="s">
        <v>107</v>
      </c>
      <c r="E37" s="370"/>
    </row>
    <row r="38" spans="2:9" ht="16.5">
      <c r="B38" s="35" t="s">
        <v>108</v>
      </c>
      <c r="C38" s="33" t="s">
        <v>109</v>
      </c>
      <c r="D38" s="63" t="s">
        <v>110</v>
      </c>
      <c r="E38" s="370"/>
    </row>
    <row r="39" spans="2:9" ht="16.5">
      <c r="B39" s="35" t="s">
        <v>111</v>
      </c>
      <c r="C39" s="33" t="s">
        <v>112</v>
      </c>
      <c r="D39" s="63" t="s">
        <v>113</v>
      </c>
      <c r="E39" s="370"/>
    </row>
    <row r="40" spans="2:9" ht="16.5">
      <c r="B40" s="35" t="s">
        <v>114</v>
      </c>
      <c r="C40" s="33" t="s">
        <v>115</v>
      </c>
      <c r="D40" s="63" t="s">
        <v>116</v>
      </c>
      <c r="E40" s="370"/>
    </row>
  </sheetData>
  <mergeCells count="18">
    <mergeCell ref="H6:J6"/>
    <mergeCell ref="B2:E2"/>
    <mergeCell ref="G2:J2"/>
    <mergeCell ref="H3:J3"/>
    <mergeCell ref="H4:J4"/>
    <mergeCell ref="H5:J5"/>
    <mergeCell ref="B23:E23"/>
    <mergeCell ref="E25:E31"/>
    <mergeCell ref="B33:E33"/>
    <mergeCell ref="E35:E40"/>
    <mergeCell ref="B9:J9"/>
    <mergeCell ref="B16:E16"/>
    <mergeCell ref="G16:J16"/>
    <mergeCell ref="E18:E21"/>
    <mergeCell ref="G18:G19"/>
    <mergeCell ref="H18:H19"/>
    <mergeCell ref="I18:I19"/>
    <mergeCell ref="J18:J19"/>
  </mergeCells>
  <phoneticPr fontId="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J344"/>
  <sheetViews>
    <sheetView showGridLines="0" topLeftCell="A58" zoomScaleNormal="100" zoomScalePageLayoutView="70" workbookViewId="0"/>
  </sheetViews>
  <sheetFormatPr defaultColWidth="9" defaultRowHeight="12.75"/>
  <cols>
    <col min="1" max="1" width="3.140625" style="64" customWidth="1"/>
    <col min="2" max="2" width="22" style="162" customWidth="1"/>
    <col min="3" max="4" width="8.7109375" style="66" bestFit="1" customWidth="1"/>
    <col min="5" max="5" width="8.5703125" style="66" bestFit="1" customWidth="1"/>
    <col min="6" max="6" width="53.28515625" style="66" bestFit="1" customWidth="1"/>
    <col min="7" max="7" width="50.5703125" style="66" bestFit="1" customWidth="1"/>
    <col min="8" max="8" width="8" style="66" bestFit="1" customWidth="1"/>
    <col min="9" max="9" width="7" style="66" bestFit="1" customWidth="1"/>
    <col min="10" max="10" width="107.7109375" style="64" bestFit="1" customWidth="1"/>
    <col min="11" max="11" width="6.140625" style="64" bestFit="1" customWidth="1"/>
    <col min="12" max="12" width="34.5703125" style="64" bestFit="1" customWidth="1"/>
    <col min="13" max="16384" width="9" style="64"/>
  </cols>
  <sheetData>
    <row r="2" spans="2:10" ht="30">
      <c r="B2" s="437" t="s">
        <v>117</v>
      </c>
      <c r="C2" s="437"/>
      <c r="D2" s="437"/>
      <c r="E2" s="437"/>
      <c r="F2" s="437"/>
      <c r="G2" s="437"/>
      <c r="H2" s="437"/>
      <c r="I2" s="437"/>
      <c r="J2" s="437"/>
    </row>
    <row r="3" spans="2:10" ht="18">
      <c r="B3" s="65" t="s">
        <v>118</v>
      </c>
      <c r="F3" s="64"/>
      <c r="G3" s="64"/>
    </row>
    <row r="4" spans="2:10" ht="18">
      <c r="B4" s="65"/>
      <c r="F4" s="64"/>
      <c r="G4" s="64"/>
    </row>
    <row r="5" spans="2:10" ht="18">
      <c r="B5" s="67" t="s">
        <v>119</v>
      </c>
      <c r="F5" s="64"/>
      <c r="G5" s="64"/>
    </row>
    <row r="6" spans="2:10" ht="18.75" thickBot="1">
      <c r="B6" s="68" t="s">
        <v>120</v>
      </c>
      <c r="F6" s="64"/>
      <c r="G6" s="64"/>
    </row>
    <row r="7" spans="2:10" ht="39" thickBot="1">
      <c r="B7" s="69" t="s">
        <v>79</v>
      </c>
      <c r="C7" s="70" t="s">
        <v>121</v>
      </c>
      <c r="D7" s="70" t="s">
        <v>122</v>
      </c>
      <c r="E7" s="71" t="s">
        <v>123</v>
      </c>
      <c r="F7" s="71" t="s">
        <v>124</v>
      </c>
      <c r="G7" s="72" t="s">
        <v>50</v>
      </c>
      <c r="H7" s="73" t="s">
        <v>125</v>
      </c>
      <c r="I7" s="70" t="s">
        <v>126</v>
      </c>
      <c r="J7" s="74" t="s">
        <v>127</v>
      </c>
    </row>
    <row r="8" spans="2:10">
      <c r="B8" s="438" t="s">
        <v>128</v>
      </c>
      <c r="C8" s="75">
        <f>[1]Common!I18</f>
        <v>30000</v>
      </c>
      <c r="D8" s="76" t="str">
        <f>DEC2HEX(C8)</f>
        <v>7530</v>
      </c>
      <c r="E8" s="441" t="s">
        <v>129</v>
      </c>
      <c r="F8" s="442" t="s">
        <v>130</v>
      </c>
      <c r="G8" s="444" t="s">
        <v>131</v>
      </c>
      <c r="H8" s="77" t="s">
        <v>132</v>
      </c>
      <c r="I8" s="76" t="s">
        <v>132</v>
      </c>
      <c r="J8" s="444" t="s">
        <v>133</v>
      </c>
    </row>
    <row r="9" spans="2:10">
      <c r="B9" s="439"/>
      <c r="C9" s="78">
        <f t="shared" ref="C9:C17" si="0">C8+1</f>
        <v>30001</v>
      </c>
      <c r="D9" s="79" t="str">
        <f>DEC2HEX(C9)</f>
        <v>7531</v>
      </c>
      <c r="E9" s="425"/>
      <c r="F9" s="443"/>
      <c r="G9" s="445"/>
      <c r="H9" s="81" t="s">
        <v>132</v>
      </c>
      <c r="I9" s="79" t="s">
        <v>132</v>
      </c>
      <c r="J9" s="445"/>
    </row>
    <row r="10" spans="2:10">
      <c r="B10" s="439"/>
      <c r="C10" s="82">
        <f t="shared" si="0"/>
        <v>30002</v>
      </c>
      <c r="D10" s="83" t="str">
        <f>DEC2HEX(C10)</f>
        <v>7532</v>
      </c>
      <c r="E10" s="84"/>
      <c r="F10" s="84" t="s">
        <v>55</v>
      </c>
      <c r="G10" s="85"/>
      <c r="H10" s="81" t="s">
        <v>132</v>
      </c>
      <c r="I10" s="79" t="s">
        <v>132</v>
      </c>
      <c r="J10" s="86"/>
    </row>
    <row r="11" spans="2:10">
      <c r="B11" s="439"/>
      <c r="C11" s="82">
        <f t="shared" si="0"/>
        <v>30003</v>
      </c>
      <c r="D11" s="87" t="str">
        <f>DEC2HEX(C11)</f>
        <v>7533</v>
      </c>
      <c r="E11" s="84"/>
      <c r="F11" s="84" t="s">
        <v>55</v>
      </c>
      <c r="G11" s="85"/>
      <c r="H11" s="81" t="s">
        <v>132</v>
      </c>
      <c r="I11" s="79" t="s">
        <v>132</v>
      </c>
      <c r="J11" s="86"/>
    </row>
    <row r="12" spans="2:10">
      <c r="B12" s="439"/>
      <c r="C12" s="82">
        <f t="shared" si="0"/>
        <v>30004</v>
      </c>
      <c r="D12" s="83" t="str">
        <f>DEC2HEX(C12)</f>
        <v>7534</v>
      </c>
      <c r="E12" s="84"/>
      <c r="F12" s="84" t="s">
        <v>55</v>
      </c>
      <c r="G12" s="85"/>
      <c r="H12" s="81" t="s">
        <v>132</v>
      </c>
      <c r="I12" s="79" t="s">
        <v>132</v>
      </c>
      <c r="J12" s="86"/>
    </row>
    <row r="13" spans="2:10" ht="25.5">
      <c r="B13" s="439"/>
      <c r="C13" s="82">
        <f t="shared" si="0"/>
        <v>30005</v>
      </c>
      <c r="D13" s="84">
        <f>D12+1</f>
        <v>7535</v>
      </c>
      <c r="E13" s="84" t="s">
        <v>134</v>
      </c>
      <c r="F13" s="80" t="s">
        <v>135</v>
      </c>
      <c r="G13" s="88" t="s">
        <v>136</v>
      </c>
      <c r="H13" s="81" t="s">
        <v>137</v>
      </c>
      <c r="I13" s="79" t="s">
        <v>132</v>
      </c>
      <c r="J13" s="86" t="s">
        <v>138</v>
      </c>
    </row>
    <row r="14" spans="2:10">
      <c r="B14" s="439"/>
      <c r="C14" s="82">
        <f t="shared" si="0"/>
        <v>30006</v>
      </c>
      <c r="D14" s="84">
        <f>D13+1</f>
        <v>7536</v>
      </c>
      <c r="E14" s="84"/>
      <c r="F14" s="84" t="s">
        <v>55</v>
      </c>
      <c r="G14" s="85"/>
      <c r="H14" s="81" t="s">
        <v>132</v>
      </c>
      <c r="I14" s="79" t="s">
        <v>132</v>
      </c>
      <c r="J14" s="86"/>
    </row>
    <row r="15" spans="2:10">
      <c r="B15" s="439"/>
      <c r="C15" s="82">
        <f t="shared" si="0"/>
        <v>30007</v>
      </c>
      <c r="D15" s="84">
        <f>D14+1</f>
        <v>7537</v>
      </c>
      <c r="E15" s="84"/>
      <c r="F15" s="84" t="s">
        <v>55</v>
      </c>
      <c r="G15" s="85"/>
      <c r="H15" s="81" t="s">
        <v>132</v>
      </c>
      <c r="I15" s="79" t="s">
        <v>132</v>
      </c>
      <c r="J15" s="86"/>
    </row>
    <row r="16" spans="2:10">
      <c r="B16" s="439"/>
      <c r="C16" s="82">
        <f t="shared" si="0"/>
        <v>30008</v>
      </c>
      <c r="D16" s="84">
        <f>D15+1</f>
        <v>7538</v>
      </c>
      <c r="E16" s="84"/>
      <c r="F16" s="84" t="s">
        <v>55</v>
      </c>
      <c r="G16" s="85"/>
      <c r="H16" s="81" t="s">
        <v>132</v>
      </c>
      <c r="I16" s="79" t="s">
        <v>132</v>
      </c>
      <c r="J16" s="86"/>
    </row>
    <row r="17" spans="2:10">
      <c r="B17" s="439"/>
      <c r="C17" s="82">
        <f t="shared" si="0"/>
        <v>30009</v>
      </c>
      <c r="D17" s="84">
        <f>D16+1</f>
        <v>7539</v>
      </c>
      <c r="E17" s="84"/>
      <c r="F17" s="84" t="s">
        <v>55</v>
      </c>
      <c r="G17" s="85"/>
      <c r="H17" s="81" t="s">
        <v>132</v>
      </c>
      <c r="I17" s="79" t="s">
        <v>132</v>
      </c>
      <c r="J17" s="86"/>
    </row>
    <row r="18" spans="2:10">
      <c r="B18" s="439"/>
      <c r="C18" s="89">
        <f>C17+1</f>
        <v>30010</v>
      </c>
      <c r="D18" s="90" t="str">
        <f>DEC2HEX(C18)</f>
        <v>753A</v>
      </c>
      <c r="E18" s="90"/>
      <c r="F18" s="90" t="s">
        <v>58</v>
      </c>
      <c r="G18" s="91"/>
      <c r="H18" s="92" t="s">
        <v>132</v>
      </c>
      <c r="I18" s="93" t="s">
        <v>132</v>
      </c>
      <c r="J18" s="94"/>
    </row>
    <row r="19" spans="2:10">
      <c r="B19" s="439"/>
      <c r="C19" s="82">
        <f>C17+2</f>
        <v>30011</v>
      </c>
      <c r="D19" s="84" t="str">
        <f>DEC2HEX(C19)</f>
        <v>753B</v>
      </c>
      <c r="E19" s="84"/>
      <c r="F19" s="84" t="s">
        <v>55</v>
      </c>
      <c r="G19" s="85"/>
      <c r="H19" s="81" t="s">
        <v>132</v>
      </c>
      <c r="I19" s="79" t="s">
        <v>132</v>
      </c>
      <c r="J19" s="86"/>
    </row>
    <row r="20" spans="2:10">
      <c r="B20" s="439"/>
      <c r="C20" s="82">
        <f t="shared" ref="C20:C37" si="1">C19+1</f>
        <v>30012</v>
      </c>
      <c r="D20" s="84" t="str">
        <f t="shared" ref="D20:D36" si="2">DEC2HEX(C20)</f>
        <v>753C</v>
      </c>
      <c r="E20" s="84"/>
      <c r="F20" s="84" t="s">
        <v>55</v>
      </c>
      <c r="G20" s="85"/>
      <c r="H20" s="81" t="s">
        <v>132</v>
      </c>
      <c r="I20" s="79" t="s">
        <v>132</v>
      </c>
      <c r="J20" s="86"/>
    </row>
    <row r="21" spans="2:10">
      <c r="B21" s="439"/>
      <c r="C21" s="82">
        <f t="shared" si="1"/>
        <v>30013</v>
      </c>
      <c r="D21" s="84" t="str">
        <f t="shared" si="2"/>
        <v>753D</v>
      </c>
      <c r="E21" s="84"/>
      <c r="F21" s="84" t="s">
        <v>55</v>
      </c>
      <c r="G21" s="95"/>
      <c r="H21" s="81" t="s">
        <v>132</v>
      </c>
      <c r="I21" s="79" t="s">
        <v>132</v>
      </c>
      <c r="J21" s="86"/>
    </row>
    <row r="22" spans="2:10">
      <c r="B22" s="439"/>
      <c r="C22" s="82">
        <f t="shared" si="1"/>
        <v>30014</v>
      </c>
      <c r="D22" s="84" t="str">
        <f t="shared" si="2"/>
        <v>753E</v>
      </c>
      <c r="E22" s="84"/>
      <c r="F22" s="84" t="s">
        <v>55</v>
      </c>
      <c r="G22" s="95"/>
      <c r="H22" s="81" t="s">
        <v>132</v>
      </c>
      <c r="I22" s="79" t="s">
        <v>132</v>
      </c>
      <c r="J22" s="86"/>
    </row>
    <row r="23" spans="2:10">
      <c r="B23" s="439"/>
      <c r="C23" s="82">
        <f t="shared" si="1"/>
        <v>30015</v>
      </c>
      <c r="D23" s="84" t="str">
        <f t="shared" si="2"/>
        <v>753F</v>
      </c>
      <c r="E23" s="84"/>
      <c r="F23" s="84" t="s">
        <v>55</v>
      </c>
      <c r="G23" s="95"/>
      <c r="H23" s="81" t="s">
        <v>132</v>
      </c>
      <c r="I23" s="79" t="s">
        <v>132</v>
      </c>
      <c r="J23" s="86"/>
    </row>
    <row r="24" spans="2:10">
      <c r="B24" s="439"/>
      <c r="C24" s="82">
        <f t="shared" si="1"/>
        <v>30016</v>
      </c>
      <c r="D24" s="84" t="str">
        <f t="shared" si="2"/>
        <v>7540</v>
      </c>
      <c r="E24" s="84"/>
      <c r="F24" s="84" t="s">
        <v>55</v>
      </c>
      <c r="G24" s="95"/>
      <c r="H24" s="81" t="s">
        <v>132</v>
      </c>
      <c r="I24" s="79" t="s">
        <v>132</v>
      </c>
      <c r="J24" s="86"/>
    </row>
    <row r="25" spans="2:10">
      <c r="B25" s="439"/>
      <c r="C25" s="82">
        <f t="shared" si="1"/>
        <v>30017</v>
      </c>
      <c r="D25" s="84" t="str">
        <f t="shared" si="2"/>
        <v>7541</v>
      </c>
      <c r="E25" s="84"/>
      <c r="F25" s="84" t="s">
        <v>55</v>
      </c>
      <c r="G25" s="95"/>
      <c r="H25" s="81" t="s">
        <v>132</v>
      </c>
      <c r="I25" s="79" t="s">
        <v>132</v>
      </c>
      <c r="J25" s="86"/>
    </row>
    <row r="26" spans="2:10">
      <c r="B26" s="439"/>
      <c r="C26" s="82">
        <f t="shared" si="1"/>
        <v>30018</v>
      </c>
      <c r="D26" s="84" t="str">
        <f t="shared" si="2"/>
        <v>7542</v>
      </c>
      <c r="E26" s="84"/>
      <c r="F26" s="84" t="s">
        <v>55</v>
      </c>
      <c r="G26" s="95"/>
      <c r="H26" s="81" t="s">
        <v>132</v>
      </c>
      <c r="I26" s="79" t="s">
        <v>132</v>
      </c>
      <c r="J26" s="86"/>
    </row>
    <row r="27" spans="2:10">
      <c r="B27" s="439"/>
      <c r="C27" s="96">
        <f t="shared" si="1"/>
        <v>30019</v>
      </c>
      <c r="D27" s="84" t="str">
        <f t="shared" si="2"/>
        <v>7543</v>
      </c>
      <c r="E27" s="80"/>
      <c r="F27" s="80" t="s">
        <v>55</v>
      </c>
      <c r="G27" s="95"/>
      <c r="H27" s="81" t="s">
        <v>132</v>
      </c>
      <c r="I27" s="79" t="s">
        <v>132</v>
      </c>
      <c r="J27" s="97"/>
    </row>
    <row r="28" spans="2:10">
      <c r="B28" s="439"/>
      <c r="C28" s="98">
        <f t="shared" si="1"/>
        <v>30020</v>
      </c>
      <c r="D28" s="84" t="str">
        <f t="shared" si="2"/>
        <v>7544</v>
      </c>
      <c r="E28" s="99"/>
      <c r="F28" s="99" t="s">
        <v>55</v>
      </c>
      <c r="G28" s="100"/>
      <c r="H28" s="101" t="s">
        <v>132</v>
      </c>
      <c r="I28" s="83" t="s">
        <v>132</v>
      </c>
      <c r="J28" s="102"/>
    </row>
    <row r="29" spans="2:10">
      <c r="B29" s="439"/>
      <c r="C29" s="82">
        <f t="shared" si="1"/>
        <v>30021</v>
      </c>
      <c r="D29" s="84" t="str">
        <f t="shared" si="2"/>
        <v>7545</v>
      </c>
      <c r="E29" s="84"/>
      <c r="F29" s="84" t="s">
        <v>55</v>
      </c>
      <c r="G29" s="85"/>
      <c r="H29" s="81" t="s">
        <v>132</v>
      </c>
      <c r="I29" s="79" t="s">
        <v>132</v>
      </c>
      <c r="J29" s="86"/>
    </row>
    <row r="30" spans="2:10">
      <c r="B30" s="439"/>
      <c r="C30" s="82">
        <f t="shared" si="1"/>
        <v>30022</v>
      </c>
      <c r="D30" s="84" t="str">
        <f t="shared" si="2"/>
        <v>7546</v>
      </c>
      <c r="E30" s="84"/>
      <c r="F30" s="84" t="s">
        <v>55</v>
      </c>
      <c r="G30" s="95"/>
      <c r="H30" s="81" t="s">
        <v>132</v>
      </c>
      <c r="I30" s="79" t="s">
        <v>132</v>
      </c>
      <c r="J30" s="86"/>
    </row>
    <row r="31" spans="2:10">
      <c r="B31" s="439"/>
      <c r="C31" s="82">
        <f t="shared" si="1"/>
        <v>30023</v>
      </c>
      <c r="D31" s="84" t="str">
        <f t="shared" si="2"/>
        <v>7547</v>
      </c>
      <c r="E31" s="84"/>
      <c r="F31" s="84" t="s">
        <v>55</v>
      </c>
      <c r="G31" s="95"/>
      <c r="H31" s="81" t="s">
        <v>132</v>
      </c>
      <c r="I31" s="79" t="s">
        <v>132</v>
      </c>
      <c r="J31" s="86"/>
    </row>
    <row r="32" spans="2:10">
      <c r="B32" s="439"/>
      <c r="C32" s="82">
        <f t="shared" si="1"/>
        <v>30024</v>
      </c>
      <c r="D32" s="84" t="str">
        <f t="shared" si="2"/>
        <v>7548</v>
      </c>
      <c r="E32" s="84"/>
      <c r="F32" s="84" t="s">
        <v>55</v>
      </c>
      <c r="G32" s="95"/>
      <c r="H32" s="81" t="s">
        <v>132</v>
      </c>
      <c r="I32" s="79" t="s">
        <v>132</v>
      </c>
      <c r="J32" s="86"/>
    </row>
    <row r="33" spans="2:10">
      <c r="B33" s="439"/>
      <c r="C33" s="82">
        <f t="shared" si="1"/>
        <v>30025</v>
      </c>
      <c r="D33" s="84" t="str">
        <f t="shared" si="2"/>
        <v>7549</v>
      </c>
      <c r="E33" s="84"/>
      <c r="F33" s="84" t="s">
        <v>55</v>
      </c>
      <c r="G33" s="95"/>
      <c r="H33" s="81" t="s">
        <v>132</v>
      </c>
      <c r="I33" s="79" t="s">
        <v>132</v>
      </c>
      <c r="J33" s="86"/>
    </row>
    <row r="34" spans="2:10">
      <c r="B34" s="439"/>
      <c r="C34" s="82">
        <f t="shared" si="1"/>
        <v>30026</v>
      </c>
      <c r="D34" s="84" t="str">
        <f t="shared" si="2"/>
        <v>754A</v>
      </c>
      <c r="E34" s="84"/>
      <c r="F34" s="84" t="s">
        <v>55</v>
      </c>
      <c r="G34" s="95"/>
      <c r="H34" s="81" t="s">
        <v>132</v>
      </c>
      <c r="I34" s="79" t="s">
        <v>132</v>
      </c>
      <c r="J34" s="86"/>
    </row>
    <row r="35" spans="2:10">
      <c r="B35" s="439"/>
      <c r="C35" s="82">
        <f t="shared" si="1"/>
        <v>30027</v>
      </c>
      <c r="D35" s="84" t="str">
        <f t="shared" si="2"/>
        <v>754B</v>
      </c>
      <c r="E35" s="84"/>
      <c r="F35" s="84" t="s">
        <v>55</v>
      </c>
      <c r="G35" s="95"/>
      <c r="H35" s="81" t="s">
        <v>132</v>
      </c>
      <c r="I35" s="79" t="s">
        <v>132</v>
      </c>
      <c r="J35" s="86"/>
    </row>
    <row r="36" spans="2:10">
      <c r="B36" s="439"/>
      <c r="C36" s="96">
        <f t="shared" si="1"/>
        <v>30028</v>
      </c>
      <c r="D36" s="84" t="str">
        <f t="shared" si="2"/>
        <v>754C</v>
      </c>
      <c r="E36" s="80"/>
      <c r="F36" s="80" t="s">
        <v>55</v>
      </c>
      <c r="G36" s="95"/>
      <c r="H36" s="81" t="s">
        <v>132</v>
      </c>
      <c r="I36" s="79" t="s">
        <v>132</v>
      </c>
      <c r="J36" s="97"/>
    </row>
    <row r="37" spans="2:10" ht="13.5" thickBot="1">
      <c r="B37" s="440"/>
      <c r="C37" s="103">
        <f t="shared" si="1"/>
        <v>30029</v>
      </c>
      <c r="D37" s="84" t="str">
        <f>DEC2HEX(C37)</f>
        <v>754D</v>
      </c>
      <c r="E37" s="104"/>
      <c r="F37" s="104" t="s">
        <v>55</v>
      </c>
      <c r="G37" s="105"/>
      <c r="H37" s="106" t="s">
        <v>132</v>
      </c>
      <c r="I37" s="107" t="s">
        <v>132</v>
      </c>
      <c r="J37" s="108"/>
    </row>
    <row r="38" spans="2:10">
      <c r="B38" s="427" t="s">
        <v>87</v>
      </c>
      <c r="C38" s="431">
        <f>[1]Common!I19</f>
        <v>30030</v>
      </c>
      <c r="D38" s="433" t="str">
        <f>DEC2HEX(C38)</f>
        <v>754E</v>
      </c>
      <c r="E38" s="433" t="s">
        <v>139</v>
      </c>
      <c r="F38" s="434" t="s">
        <v>140</v>
      </c>
      <c r="G38" s="110" t="s">
        <v>141</v>
      </c>
      <c r="H38" s="436" t="s">
        <v>142</v>
      </c>
      <c r="I38" s="426" t="s">
        <v>132</v>
      </c>
      <c r="J38" s="111" t="s">
        <v>143</v>
      </c>
    </row>
    <row r="39" spans="2:10">
      <c r="B39" s="428"/>
      <c r="C39" s="432"/>
      <c r="D39" s="429"/>
      <c r="E39" s="429"/>
      <c r="F39" s="435"/>
      <c r="G39" s="115" t="s">
        <v>144</v>
      </c>
      <c r="H39" s="416"/>
      <c r="I39" s="415"/>
      <c r="J39" s="116" t="s">
        <v>145</v>
      </c>
    </row>
    <row r="40" spans="2:10" ht="25.5">
      <c r="B40" s="428"/>
      <c r="C40" s="432"/>
      <c r="D40" s="429"/>
      <c r="E40" s="429"/>
      <c r="F40" s="435"/>
      <c r="G40" s="115" t="s">
        <v>146</v>
      </c>
      <c r="H40" s="416"/>
      <c r="I40" s="415"/>
      <c r="J40" s="116" t="s">
        <v>147</v>
      </c>
    </row>
    <row r="41" spans="2:10">
      <c r="B41" s="428"/>
      <c r="C41" s="432"/>
      <c r="D41" s="429"/>
      <c r="E41" s="429"/>
      <c r="F41" s="435"/>
      <c r="G41" s="115" t="s">
        <v>148</v>
      </c>
      <c r="H41" s="416"/>
      <c r="I41" s="415"/>
      <c r="J41" s="116" t="s">
        <v>55</v>
      </c>
    </row>
    <row r="42" spans="2:10">
      <c r="B42" s="428"/>
      <c r="C42" s="432"/>
      <c r="D42" s="429"/>
      <c r="E42" s="429"/>
      <c r="F42" s="435"/>
      <c r="G42" s="115" t="s">
        <v>149</v>
      </c>
      <c r="H42" s="416"/>
      <c r="I42" s="415"/>
      <c r="J42" s="116" t="s">
        <v>55</v>
      </c>
    </row>
    <row r="43" spans="2:10">
      <c r="B43" s="428"/>
      <c r="C43" s="432"/>
      <c r="D43" s="429"/>
      <c r="E43" s="429"/>
      <c r="F43" s="435"/>
      <c r="G43" s="117" t="s">
        <v>150</v>
      </c>
      <c r="H43" s="416"/>
      <c r="I43" s="415"/>
      <c r="J43" s="118" t="s">
        <v>151</v>
      </c>
    </row>
    <row r="44" spans="2:10">
      <c r="B44" s="428"/>
      <c r="C44" s="432"/>
      <c r="D44" s="429"/>
      <c r="E44" s="429"/>
      <c r="F44" s="435"/>
      <c r="G44" s="117" t="s">
        <v>152</v>
      </c>
      <c r="H44" s="416"/>
      <c r="I44" s="415"/>
      <c r="J44" s="118" t="s">
        <v>153</v>
      </c>
    </row>
    <row r="45" spans="2:10">
      <c r="B45" s="428"/>
      <c r="C45" s="432"/>
      <c r="D45" s="429"/>
      <c r="E45" s="429"/>
      <c r="F45" s="435"/>
      <c r="G45" s="117" t="s">
        <v>154</v>
      </c>
      <c r="H45" s="416"/>
      <c r="I45" s="415"/>
      <c r="J45" s="118" t="s">
        <v>155</v>
      </c>
    </row>
    <row r="46" spans="2:10">
      <c r="B46" s="428"/>
      <c r="C46" s="432"/>
      <c r="D46" s="429"/>
      <c r="E46" s="429"/>
      <c r="F46" s="435"/>
      <c r="G46" s="117" t="s">
        <v>156</v>
      </c>
      <c r="H46" s="416"/>
      <c r="I46" s="415"/>
      <c r="J46" s="118" t="s">
        <v>157</v>
      </c>
    </row>
    <row r="47" spans="2:10">
      <c r="B47" s="428"/>
      <c r="C47" s="432"/>
      <c r="D47" s="429"/>
      <c r="E47" s="429"/>
      <c r="F47" s="435"/>
      <c r="G47" s="117" t="s">
        <v>158</v>
      </c>
      <c r="H47" s="416"/>
      <c r="I47" s="415"/>
      <c r="J47" s="118" t="s">
        <v>159</v>
      </c>
    </row>
    <row r="48" spans="2:10">
      <c r="B48" s="428"/>
      <c r="C48" s="432"/>
      <c r="D48" s="429"/>
      <c r="E48" s="429"/>
      <c r="F48" s="435"/>
      <c r="G48" s="117" t="s">
        <v>160</v>
      </c>
      <c r="H48" s="416"/>
      <c r="I48" s="415"/>
      <c r="J48" s="118" t="s">
        <v>161</v>
      </c>
    </row>
    <row r="49" spans="2:10">
      <c r="B49" s="428"/>
      <c r="C49" s="432"/>
      <c r="D49" s="429"/>
      <c r="E49" s="429"/>
      <c r="F49" s="435"/>
      <c r="G49" s="117" t="s">
        <v>162</v>
      </c>
      <c r="H49" s="416"/>
      <c r="I49" s="415"/>
      <c r="J49" s="118" t="s">
        <v>163</v>
      </c>
    </row>
    <row r="50" spans="2:10">
      <c r="B50" s="428"/>
      <c r="C50" s="432"/>
      <c r="D50" s="429"/>
      <c r="E50" s="429"/>
      <c r="F50" s="435"/>
      <c r="G50" s="117" t="s">
        <v>164</v>
      </c>
      <c r="H50" s="416"/>
      <c r="I50" s="415"/>
      <c r="J50" s="118" t="s">
        <v>165</v>
      </c>
    </row>
    <row r="51" spans="2:10">
      <c r="B51" s="428"/>
      <c r="C51" s="432"/>
      <c r="D51" s="429"/>
      <c r="E51" s="429"/>
      <c r="F51" s="435"/>
      <c r="G51" s="117" t="s">
        <v>166</v>
      </c>
      <c r="H51" s="416"/>
      <c r="I51" s="415"/>
      <c r="J51" s="118" t="s">
        <v>167</v>
      </c>
    </row>
    <row r="52" spans="2:10">
      <c r="B52" s="428"/>
      <c r="C52" s="432"/>
      <c r="D52" s="429"/>
      <c r="E52" s="429"/>
      <c r="F52" s="435"/>
      <c r="G52" s="117" t="s">
        <v>168</v>
      </c>
      <c r="H52" s="416"/>
      <c r="I52" s="415"/>
      <c r="J52" s="118" t="s">
        <v>169</v>
      </c>
    </row>
    <row r="53" spans="2:10">
      <c r="B53" s="428"/>
      <c r="C53" s="432"/>
      <c r="D53" s="429"/>
      <c r="E53" s="429"/>
      <c r="F53" s="435"/>
      <c r="G53" s="119" t="s">
        <v>170</v>
      </c>
      <c r="H53" s="416"/>
      <c r="I53" s="415"/>
      <c r="J53" s="120" t="s">
        <v>171</v>
      </c>
    </row>
    <row r="54" spans="2:10">
      <c r="B54" s="428"/>
      <c r="C54" s="432"/>
      <c r="D54" s="429"/>
      <c r="E54" s="429"/>
      <c r="F54" s="435"/>
      <c r="G54" s="117" t="s">
        <v>172</v>
      </c>
      <c r="H54" s="416"/>
      <c r="I54" s="415"/>
      <c r="J54" s="118" t="s">
        <v>173</v>
      </c>
    </row>
    <row r="55" spans="2:10">
      <c r="B55" s="428"/>
      <c r="C55" s="432"/>
      <c r="D55" s="429"/>
      <c r="E55" s="429"/>
      <c r="F55" s="435"/>
      <c r="G55" s="119" t="s">
        <v>174</v>
      </c>
      <c r="H55" s="416"/>
      <c r="I55" s="415"/>
      <c r="J55" s="120" t="s">
        <v>175</v>
      </c>
    </row>
    <row r="56" spans="2:10">
      <c r="B56" s="428"/>
      <c r="C56" s="432"/>
      <c r="D56" s="429"/>
      <c r="E56" s="429"/>
      <c r="F56" s="435"/>
      <c r="G56" s="117" t="s">
        <v>176</v>
      </c>
      <c r="H56" s="416"/>
      <c r="I56" s="415"/>
      <c r="J56" s="118" t="s">
        <v>177</v>
      </c>
    </row>
    <row r="57" spans="2:10">
      <c r="B57" s="428"/>
      <c r="C57" s="432"/>
      <c r="D57" s="429"/>
      <c r="E57" s="429"/>
      <c r="F57" s="435"/>
      <c r="G57" s="117" t="s">
        <v>178</v>
      </c>
      <c r="H57" s="416"/>
      <c r="I57" s="415"/>
      <c r="J57" s="118" t="s">
        <v>179</v>
      </c>
    </row>
    <row r="58" spans="2:10">
      <c r="B58" s="428"/>
      <c r="C58" s="432"/>
      <c r="D58" s="429"/>
      <c r="E58" s="429"/>
      <c r="F58" s="435"/>
      <c r="G58" s="117" t="s">
        <v>180</v>
      </c>
      <c r="H58" s="416"/>
      <c r="I58" s="415"/>
      <c r="J58" s="121" t="s">
        <v>181</v>
      </c>
    </row>
    <row r="59" spans="2:10">
      <c r="B59" s="428"/>
      <c r="C59" s="432"/>
      <c r="D59" s="429"/>
      <c r="E59" s="429"/>
      <c r="F59" s="435"/>
      <c r="G59" s="117" t="s">
        <v>55</v>
      </c>
      <c r="H59" s="416"/>
      <c r="I59" s="415"/>
      <c r="J59" s="122" t="s">
        <v>55</v>
      </c>
    </row>
    <row r="60" spans="2:10" ht="25.5">
      <c r="B60" s="428"/>
      <c r="C60" s="432"/>
      <c r="D60" s="429"/>
      <c r="E60" s="429"/>
      <c r="F60" s="435"/>
      <c r="G60" s="117" t="s">
        <v>182</v>
      </c>
      <c r="H60" s="416"/>
      <c r="I60" s="415"/>
      <c r="J60" s="118" t="s">
        <v>183</v>
      </c>
    </row>
    <row r="61" spans="2:10" ht="25.5">
      <c r="B61" s="428"/>
      <c r="C61" s="432"/>
      <c r="D61" s="429"/>
      <c r="E61" s="429"/>
      <c r="F61" s="435"/>
      <c r="G61" s="117" t="s">
        <v>184</v>
      </c>
      <c r="H61" s="416"/>
      <c r="I61" s="415"/>
      <c r="J61" s="118" t="s">
        <v>185</v>
      </c>
    </row>
    <row r="62" spans="2:10">
      <c r="B62" s="428"/>
      <c r="C62" s="432"/>
      <c r="D62" s="429"/>
      <c r="E62" s="429"/>
      <c r="F62" s="435"/>
      <c r="G62" s="117" t="s">
        <v>186</v>
      </c>
      <c r="H62" s="404"/>
      <c r="I62" s="400"/>
      <c r="J62" s="123" t="s">
        <v>55</v>
      </c>
    </row>
    <row r="63" spans="2:10" ht="38.25">
      <c r="B63" s="428"/>
      <c r="C63" s="112">
        <f>C38+1</f>
        <v>30031</v>
      </c>
      <c r="D63" s="113" t="str">
        <f>DEC2HEX(C63)</f>
        <v>754F</v>
      </c>
      <c r="E63" s="113" t="s">
        <v>139</v>
      </c>
      <c r="F63" s="113" t="s">
        <v>187</v>
      </c>
      <c r="G63" s="117" t="s">
        <v>188</v>
      </c>
      <c r="H63" s="124" t="s">
        <v>132</v>
      </c>
      <c r="I63" s="113" t="s">
        <v>132</v>
      </c>
      <c r="J63" s="123" t="s">
        <v>189</v>
      </c>
    </row>
    <row r="64" spans="2:10">
      <c r="B64" s="428"/>
      <c r="C64" s="112">
        <f>C63+1</f>
        <v>30032</v>
      </c>
      <c r="D64" s="113" t="str">
        <f>DEC2HEX(C64)</f>
        <v>7550</v>
      </c>
      <c r="E64" s="113" t="s">
        <v>190</v>
      </c>
      <c r="F64" s="117" t="s">
        <v>55</v>
      </c>
      <c r="G64" s="117" t="s">
        <v>55</v>
      </c>
      <c r="H64" s="124" t="s">
        <v>132</v>
      </c>
      <c r="I64" s="113" t="s">
        <v>132</v>
      </c>
      <c r="J64" s="116" t="s">
        <v>55</v>
      </c>
    </row>
    <row r="65" spans="2:10">
      <c r="B65" s="428"/>
      <c r="C65" s="112">
        <f>C64+1</f>
        <v>30033</v>
      </c>
      <c r="D65" s="113">
        <f>D64+1</f>
        <v>7551</v>
      </c>
      <c r="E65" s="113" t="s">
        <v>139</v>
      </c>
      <c r="F65" s="117" t="s">
        <v>55</v>
      </c>
      <c r="G65" s="117" t="s">
        <v>55</v>
      </c>
      <c r="H65" s="124" t="s">
        <v>132</v>
      </c>
      <c r="I65" s="113" t="s">
        <v>132</v>
      </c>
      <c r="J65" s="116" t="s">
        <v>55</v>
      </c>
    </row>
    <row r="66" spans="2:10" ht="13.5" thickBot="1">
      <c r="B66" s="430"/>
      <c r="C66" s="125">
        <f>C65+1</f>
        <v>30034</v>
      </c>
      <c r="D66" s="126">
        <f>D65+1</f>
        <v>7552</v>
      </c>
      <c r="E66" s="126" t="s">
        <v>139</v>
      </c>
      <c r="F66" s="127" t="s">
        <v>55</v>
      </c>
      <c r="G66" s="127" t="s">
        <v>55</v>
      </c>
      <c r="H66" s="128" t="s">
        <v>132</v>
      </c>
      <c r="I66" s="126" t="s">
        <v>132</v>
      </c>
      <c r="J66" s="129" t="s">
        <v>55</v>
      </c>
    </row>
    <row r="67" spans="2:10">
      <c r="B67" s="427" t="s">
        <v>88</v>
      </c>
      <c r="C67" s="130">
        <f>[1]Common!I20</f>
        <v>30035</v>
      </c>
      <c r="D67" s="131">
        <f>D66+1</f>
        <v>7553</v>
      </c>
      <c r="E67" s="109" t="s">
        <v>134</v>
      </c>
      <c r="F67" s="109" t="s">
        <v>191</v>
      </c>
      <c r="G67" s="132" t="s">
        <v>192</v>
      </c>
      <c r="H67" s="133" t="s">
        <v>132</v>
      </c>
      <c r="I67" s="134" t="s">
        <v>132</v>
      </c>
      <c r="J67" s="135" t="s">
        <v>193</v>
      </c>
    </row>
    <row r="68" spans="2:10">
      <c r="B68" s="428"/>
      <c r="C68" s="429">
        <f>C67+1</f>
        <v>30036</v>
      </c>
      <c r="D68" s="429" t="str">
        <f>DEC2HEX(C68)</f>
        <v>7554</v>
      </c>
      <c r="E68" s="399" t="s">
        <v>134</v>
      </c>
      <c r="F68" s="399" t="s">
        <v>194</v>
      </c>
      <c r="G68" s="115" t="s">
        <v>195</v>
      </c>
      <c r="H68" s="403" t="s">
        <v>142</v>
      </c>
      <c r="I68" s="113" t="s">
        <v>132</v>
      </c>
      <c r="J68" s="137" t="s">
        <v>196</v>
      </c>
    </row>
    <row r="69" spans="2:10">
      <c r="B69" s="428"/>
      <c r="C69" s="429"/>
      <c r="D69" s="429"/>
      <c r="E69" s="415"/>
      <c r="F69" s="415"/>
      <c r="G69" s="115" t="s">
        <v>197</v>
      </c>
      <c r="H69" s="416"/>
      <c r="I69" s="113" t="s">
        <v>132</v>
      </c>
      <c r="J69" s="121" t="s">
        <v>198</v>
      </c>
    </row>
    <row r="70" spans="2:10">
      <c r="B70" s="428"/>
      <c r="C70" s="429"/>
      <c r="D70" s="429"/>
      <c r="E70" s="415"/>
      <c r="F70" s="415"/>
      <c r="G70" s="115" t="s">
        <v>199</v>
      </c>
      <c r="H70" s="416"/>
      <c r="I70" s="113" t="s">
        <v>132</v>
      </c>
      <c r="J70" s="121" t="s">
        <v>200</v>
      </c>
    </row>
    <row r="71" spans="2:10">
      <c r="B71" s="428"/>
      <c r="C71" s="429"/>
      <c r="D71" s="429"/>
      <c r="E71" s="415"/>
      <c r="F71" s="415"/>
      <c r="G71" s="115" t="s">
        <v>201</v>
      </c>
      <c r="H71" s="416"/>
      <c r="I71" s="113" t="s">
        <v>132</v>
      </c>
      <c r="J71" s="121" t="s">
        <v>202</v>
      </c>
    </row>
    <row r="72" spans="2:10" ht="25.5">
      <c r="B72" s="428"/>
      <c r="C72" s="429"/>
      <c r="D72" s="429"/>
      <c r="E72" s="415"/>
      <c r="F72" s="415"/>
      <c r="G72" s="115" t="s">
        <v>203</v>
      </c>
      <c r="H72" s="416"/>
      <c r="I72" s="113" t="s">
        <v>132</v>
      </c>
      <c r="J72" s="121" t="s">
        <v>204</v>
      </c>
    </row>
    <row r="73" spans="2:10">
      <c r="B73" s="428"/>
      <c r="C73" s="429"/>
      <c r="D73" s="429"/>
      <c r="E73" s="415"/>
      <c r="F73" s="415"/>
      <c r="G73" s="115" t="s">
        <v>205</v>
      </c>
      <c r="H73" s="416"/>
      <c r="I73" s="113" t="s">
        <v>132</v>
      </c>
      <c r="J73" s="121" t="s">
        <v>206</v>
      </c>
    </row>
    <row r="74" spans="2:10">
      <c r="B74" s="428"/>
      <c r="C74" s="429"/>
      <c r="D74" s="429"/>
      <c r="E74" s="415"/>
      <c r="F74" s="415"/>
      <c r="G74" s="115" t="s">
        <v>207</v>
      </c>
      <c r="H74" s="416"/>
      <c r="I74" s="113" t="s">
        <v>132</v>
      </c>
      <c r="J74" s="121" t="s">
        <v>208</v>
      </c>
    </row>
    <row r="75" spans="2:10">
      <c r="B75" s="428"/>
      <c r="C75" s="429"/>
      <c r="D75" s="429"/>
      <c r="E75" s="415"/>
      <c r="F75" s="415"/>
      <c r="G75" s="138" t="s">
        <v>209</v>
      </c>
      <c r="H75" s="416"/>
      <c r="I75" s="113" t="s">
        <v>132</v>
      </c>
      <c r="J75" s="139" t="s">
        <v>210</v>
      </c>
    </row>
    <row r="76" spans="2:10">
      <c r="B76" s="428"/>
      <c r="C76" s="429"/>
      <c r="D76" s="429"/>
      <c r="E76" s="400"/>
      <c r="F76" s="400"/>
      <c r="G76" s="115" t="s">
        <v>211</v>
      </c>
      <c r="H76" s="404"/>
      <c r="I76" s="113" t="s">
        <v>132</v>
      </c>
      <c r="J76" s="137"/>
    </row>
    <row r="77" spans="2:10">
      <c r="B77" s="428"/>
      <c r="C77" s="412">
        <f>C68+1</f>
        <v>30037</v>
      </c>
      <c r="D77" s="399" t="str">
        <f>DEC2HEX(C77)</f>
        <v>7555</v>
      </c>
      <c r="E77" s="399" t="s">
        <v>212</v>
      </c>
      <c r="F77" s="399" t="s">
        <v>213</v>
      </c>
      <c r="G77" s="117" t="s">
        <v>214</v>
      </c>
      <c r="H77" s="403" t="s">
        <v>215</v>
      </c>
      <c r="I77" s="113" t="s">
        <v>132</v>
      </c>
      <c r="J77" s="116" t="s">
        <v>216</v>
      </c>
    </row>
    <row r="78" spans="2:10">
      <c r="B78" s="428"/>
      <c r="C78" s="413"/>
      <c r="D78" s="415"/>
      <c r="E78" s="415"/>
      <c r="F78" s="415"/>
      <c r="G78" s="117" t="s">
        <v>217</v>
      </c>
      <c r="H78" s="416"/>
      <c r="I78" s="113" t="s">
        <v>132</v>
      </c>
      <c r="J78" s="116" t="s">
        <v>218</v>
      </c>
    </row>
    <row r="79" spans="2:10">
      <c r="B79" s="428"/>
      <c r="C79" s="413"/>
      <c r="D79" s="415"/>
      <c r="E79" s="415"/>
      <c r="F79" s="415"/>
      <c r="G79" s="117" t="s">
        <v>219</v>
      </c>
      <c r="H79" s="416"/>
      <c r="I79" s="113" t="s">
        <v>132</v>
      </c>
      <c r="J79" s="116" t="s">
        <v>220</v>
      </c>
    </row>
    <row r="80" spans="2:10">
      <c r="B80" s="428"/>
      <c r="C80" s="413"/>
      <c r="D80" s="415"/>
      <c r="E80" s="415"/>
      <c r="F80" s="415"/>
      <c r="G80" s="115" t="s">
        <v>221</v>
      </c>
      <c r="H80" s="416"/>
      <c r="I80" s="113"/>
      <c r="J80" s="116" t="s">
        <v>55</v>
      </c>
    </row>
    <row r="81" spans="2:10" ht="51">
      <c r="B81" s="428"/>
      <c r="C81" s="413"/>
      <c r="D81" s="415"/>
      <c r="E81" s="415"/>
      <c r="F81" s="415"/>
      <c r="G81" s="140" t="s">
        <v>222</v>
      </c>
      <c r="H81" s="416"/>
      <c r="I81" s="113" t="s">
        <v>132</v>
      </c>
      <c r="J81" s="116" t="s">
        <v>223</v>
      </c>
    </row>
    <row r="82" spans="2:10">
      <c r="B82" s="428"/>
      <c r="C82" s="413"/>
      <c r="D82" s="415"/>
      <c r="E82" s="415"/>
      <c r="F82" s="415"/>
      <c r="G82" s="115" t="s">
        <v>224</v>
      </c>
      <c r="H82" s="416"/>
      <c r="I82" s="113" t="s">
        <v>132</v>
      </c>
      <c r="J82" s="116" t="s">
        <v>55</v>
      </c>
    </row>
    <row r="83" spans="2:10">
      <c r="B83" s="428"/>
      <c r="C83" s="413"/>
      <c r="D83" s="415"/>
      <c r="E83" s="415"/>
      <c r="F83" s="415"/>
      <c r="G83" s="115" t="s">
        <v>225</v>
      </c>
      <c r="H83" s="416"/>
      <c r="I83" s="113" t="s">
        <v>132</v>
      </c>
      <c r="J83" s="116" t="s">
        <v>55</v>
      </c>
    </row>
    <row r="84" spans="2:10">
      <c r="B84" s="428"/>
      <c r="C84" s="413"/>
      <c r="D84" s="415"/>
      <c r="E84" s="415"/>
      <c r="F84" s="415"/>
      <c r="G84" s="115" t="s">
        <v>226</v>
      </c>
      <c r="H84" s="416"/>
      <c r="I84" s="113" t="s">
        <v>132</v>
      </c>
      <c r="J84" s="116" t="s">
        <v>55</v>
      </c>
    </row>
    <row r="85" spans="2:10">
      <c r="B85" s="428"/>
      <c r="C85" s="413"/>
      <c r="D85" s="415"/>
      <c r="E85" s="415"/>
      <c r="F85" s="415"/>
      <c r="G85" s="115" t="s">
        <v>227</v>
      </c>
      <c r="H85" s="416"/>
      <c r="I85" s="113" t="s">
        <v>132</v>
      </c>
      <c r="J85" s="116" t="s">
        <v>55</v>
      </c>
    </row>
    <row r="86" spans="2:10" ht="25.5">
      <c r="B86" s="428"/>
      <c r="C86" s="413"/>
      <c r="D86" s="415"/>
      <c r="E86" s="415"/>
      <c r="F86" s="415"/>
      <c r="G86" s="115" t="s">
        <v>228</v>
      </c>
      <c r="H86" s="416"/>
      <c r="I86" s="113" t="s">
        <v>132</v>
      </c>
      <c r="J86" s="116" t="s">
        <v>229</v>
      </c>
    </row>
    <row r="87" spans="2:10" ht="25.5">
      <c r="B87" s="428"/>
      <c r="C87" s="413"/>
      <c r="D87" s="415"/>
      <c r="E87" s="415"/>
      <c r="F87" s="415"/>
      <c r="G87" s="115" t="s">
        <v>230</v>
      </c>
      <c r="H87" s="416"/>
      <c r="I87" s="113" t="s">
        <v>132</v>
      </c>
      <c r="J87" s="116" t="s">
        <v>231</v>
      </c>
    </row>
    <row r="88" spans="2:10" ht="25.5">
      <c r="B88" s="428"/>
      <c r="C88" s="413"/>
      <c r="D88" s="415"/>
      <c r="E88" s="415"/>
      <c r="F88" s="415"/>
      <c r="G88" s="115" t="s">
        <v>232</v>
      </c>
      <c r="H88" s="416"/>
      <c r="I88" s="113" t="s">
        <v>132</v>
      </c>
      <c r="J88" s="116" t="s">
        <v>233</v>
      </c>
    </row>
    <row r="89" spans="2:10" ht="25.5">
      <c r="B89" s="428"/>
      <c r="C89" s="413"/>
      <c r="D89" s="415"/>
      <c r="E89" s="415"/>
      <c r="F89" s="415"/>
      <c r="G89" s="115" t="s">
        <v>234</v>
      </c>
      <c r="H89" s="416"/>
      <c r="I89" s="113" t="s">
        <v>132</v>
      </c>
      <c r="J89" s="116" t="s">
        <v>235</v>
      </c>
    </row>
    <row r="90" spans="2:10">
      <c r="B90" s="428"/>
      <c r="C90" s="413"/>
      <c r="D90" s="415"/>
      <c r="E90" s="415"/>
      <c r="F90" s="415"/>
      <c r="G90" s="115" t="s">
        <v>236</v>
      </c>
      <c r="H90" s="416"/>
      <c r="I90" s="113" t="s">
        <v>132</v>
      </c>
      <c r="J90" s="116" t="s">
        <v>55</v>
      </c>
    </row>
    <row r="91" spans="2:10">
      <c r="B91" s="428"/>
      <c r="C91" s="414"/>
      <c r="D91" s="400"/>
      <c r="E91" s="400"/>
      <c r="F91" s="400"/>
      <c r="G91" s="115" t="s">
        <v>237</v>
      </c>
      <c r="H91" s="404"/>
      <c r="I91" s="113" t="s">
        <v>132</v>
      </c>
      <c r="J91" s="116" t="s">
        <v>55</v>
      </c>
    </row>
    <row r="92" spans="2:10" ht="25.5">
      <c r="B92" s="428"/>
      <c r="C92" s="112">
        <f>C77+1</f>
        <v>30038</v>
      </c>
      <c r="D92" s="113" t="str">
        <f t="shared" ref="D92:D97" si="3">DEC2HEX(C92)</f>
        <v>7556</v>
      </c>
      <c r="E92" s="113" t="s">
        <v>134</v>
      </c>
      <c r="F92" s="113" t="s">
        <v>238</v>
      </c>
      <c r="G92" s="88" t="s">
        <v>239</v>
      </c>
      <c r="H92" s="124" t="s">
        <v>137</v>
      </c>
      <c r="I92" s="141" t="s">
        <v>132</v>
      </c>
      <c r="J92" s="116" t="s">
        <v>240</v>
      </c>
    </row>
    <row r="93" spans="2:10">
      <c r="B93" s="428"/>
      <c r="C93" s="112">
        <f>C92+1</f>
        <v>30039</v>
      </c>
      <c r="D93" s="113" t="str">
        <f t="shared" si="3"/>
        <v>7557</v>
      </c>
      <c r="E93" s="113" t="s">
        <v>134</v>
      </c>
      <c r="F93" s="117" t="s">
        <v>55</v>
      </c>
      <c r="G93" s="117" t="s">
        <v>55</v>
      </c>
      <c r="H93" s="113" t="s">
        <v>132</v>
      </c>
      <c r="I93" s="113" t="s">
        <v>132</v>
      </c>
      <c r="J93" s="142" t="s">
        <v>55</v>
      </c>
    </row>
    <row r="94" spans="2:10">
      <c r="B94" s="428"/>
      <c r="C94" s="112">
        <f>C93+1</f>
        <v>30040</v>
      </c>
      <c r="D94" s="113" t="str">
        <f t="shared" si="3"/>
        <v>7558</v>
      </c>
      <c r="E94" s="113" t="s">
        <v>134</v>
      </c>
      <c r="F94" s="117" t="s">
        <v>55</v>
      </c>
      <c r="G94" s="117" t="s">
        <v>55</v>
      </c>
      <c r="H94" s="113" t="s">
        <v>132</v>
      </c>
      <c r="I94" s="113" t="s">
        <v>132</v>
      </c>
      <c r="J94" s="142" t="s">
        <v>55</v>
      </c>
    </row>
    <row r="95" spans="2:10">
      <c r="B95" s="428"/>
      <c r="C95" s="112">
        <f>C94+1</f>
        <v>30041</v>
      </c>
      <c r="D95" s="113" t="str">
        <f t="shared" si="3"/>
        <v>7559</v>
      </c>
      <c r="E95" s="113" t="s">
        <v>134</v>
      </c>
      <c r="F95" s="117" t="s">
        <v>55</v>
      </c>
      <c r="G95" s="117" t="s">
        <v>55</v>
      </c>
      <c r="H95" s="113" t="s">
        <v>132</v>
      </c>
      <c r="I95" s="113" t="s">
        <v>132</v>
      </c>
      <c r="J95" s="142" t="s">
        <v>55</v>
      </c>
    </row>
    <row r="96" spans="2:10">
      <c r="B96" s="428"/>
      <c r="C96" s="112">
        <f>C95+1</f>
        <v>30042</v>
      </c>
      <c r="D96" s="113" t="str">
        <f t="shared" si="3"/>
        <v>755A</v>
      </c>
      <c r="E96" s="113" t="s">
        <v>139</v>
      </c>
      <c r="F96" s="117" t="s">
        <v>55</v>
      </c>
      <c r="G96" s="117" t="s">
        <v>55</v>
      </c>
      <c r="H96" s="113" t="s">
        <v>132</v>
      </c>
      <c r="I96" s="113" t="s">
        <v>132</v>
      </c>
      <c r="J96" s="142" t="s">
        <v>55</v>
      </c>
    </row>
    <row r="97" spans="2:10">
      <c r="B97" s="428"/>
      <c r="C97" s="412">
        <f>C96+1</f>
        <v>30043</v>
      </c>
      <c r="D97" s="399" t="str">
        <f t="shared" si="3"/>
        <v>755B</v>
      </c>
      <c r="E97" s="399" t="s">
        <v>134</v>
      </c>
      <c r="F97" s="399" t="s">
        <v>241</v>
      </c>
      <c r="G97" s="115" t="s">
        <v>242</v>
      </c>
      <c r="H97" s="403" t="s">
        <v>243</v>
      </c>
      <c r="I97" s="399" t="s">
        <v>5</v>
      </c>
      <c r="J97" s="405" t="s">
        <v>244</v>
      </c>
    </row>
    <row r="98" spans="2:10">
      <c r="B98" s="428"/>
      <c r="C98" s="413"/>
      <c r="D98" s="415"/>
      <c r="E98" s="415"/>
      <c r="F98" s="415"/>
      <c r="G98" s="115" t="s">
        <v>245</v>
      </c>
      <c r="H98" s="416"/>
      <c r="I98" s="415"/>
      <c r="J98" s="410"/>
    </row>
    <row r="99" spans="2:10">
      <c r="B99" s="428"/>
      <c r="C99" s="413"/>
      <c r="D99" s="415"/>
      <c r="E99" s="415"/>
      <c r="F99" s="400"/>
      <c r="G99" s="115" t="s">
        <v>246</v>
      </c>
      <c r="H99" s="416"/>
      <c r="I99" s="415"/>
      <c r="J99" s="406"/>
    </row>
    <row r="100" spans="2:10">
      <c r="B100" s="428"/>
      <c r="C100" s="413"/>
      <c r="D100" s="415"/>
      <c r="E100" s="415"/>
      <c r="F100" s="399" t="s">
        <v>55</v>
      </c>
      <c r="G100" s="115" t="s">
        <v>247</v>
      </c>
      <c r="H100" s="416"/>
      <c r="I100" s="415"/>
      <c r="J100" s="405" t="s">
        <v>55</v>
      </c>
    </row>
    <row r="101" spans="2:10">
      <c r="B101" s="428"/>
      <c r="C101" s="413"/>
      <c r="D101" s="415"/>
      <c r="E101" s="415"/>
      <c r="F101" s="415"/>
      <c r="G101" s="115" t="s">
        <v>248</v>
      </c>
      <c r="H101" s="416"/>
      <c r="I101" s="415"/>
      <c r="J101" s="410"/>
    </row>
    <row r="102" spans="2:10">
      <c r="B102" s="428"/>
      <c r="C102" s="413"/>
      <c r="D102" s="415"/>
      <c r="E102" s="415"/>
      <c r="F102" s="400"/>
      <c r="G102" s="115" t="s">
        <v>249</v>
      </c>
      <c r="H102" s="416"/>
      <c r="I102" s="415"/>
      <c r="J102" s="406"/>
    </row>
    <row r="103" spans="2:10">
      <c r="B103" s="428"/>
      <c r="C103" s="413"/>
      <c r="D103" s="415"/>
      <c r="E103" s="415"/>
      <c r="F103" s="399" t="s">
        <v>250</v>
      </c>
      <c r="G103" s="115" t="s">
        <v>251</v>
      </c>
      <c r="H103" s="416"/>
      <c r="I103" s="415"/>
      <c r="J103" s="405" t="s">
        <v>252</v>
      </c>
    </row>
    <row r="104" spans="2:10">
      <c r="B104" s="428"/>
      <c r="C104" s="413"/>
      <c r="D104" s="415"/>
      <c r="E104" s="415"/>
      <c r="F104" s="415"/>
      <c r="G104" s="115" t="s">
        <v>253</v>
      </c>
      <c r="H104" s="416"/>
      <c r="I104" s="415"/>
      <c r="J104" s="410"/>
    </row>
    <row r="105" spans="2:10">
      <c r="B105" s="428"/>
      <c r="C105" s="413"/>
      <c r="D105" s="415"/>
      <c r="E105" s="415"/>
      <c r="F105" s="400"/>
      <c r="G105" s="115" t="s">
        <v>254</v>
      </c>
      <c r="H105" s="416"/>
      <c r="I105" s="415"/>
      <c r="J105" s="406"/>
    </row>
    <row r="106" spans="2:10">
      <c r="B106" s="428"/>
      <c r="C106" s="413"/>
      <c r="D106" s="415"/>
      <c r="E106" s="415"/>
      <c r="F106" s="399" t="s">
        <v>255</v>
      </c>
      <c r="G106" s="115" t="s">
        <v>256</v>
      </c>
      <c r="H106" s="416"/>
      <c r="I106" s="415"/>
      <c r="J106" s="405" t="s">
        <v>257</v>
      </c>
    </row>
    <row r="107" spans="2:10">
      <c r="B107" s="428"/>
      <c r="C107" s="413"/>
      <c r="D107" s="415"/>
      <c r="E107" s="415"/>
      <c r="F107" s="415"/>
      <c r="G107" s="115" t="s">
        <v>258</v>
      </c>
      <c r="H107" s="416"/>
      <c r="I107" s="415"/>
      <c r="J107" s="410"/>
    </row>
    <row r="108" spans="2:10">
      <c r="B108" s="428"/>
      <c r="C108" s="413"/>
      <c r="D108" s="415"/>
      <c r="E108" s="415"/>
      <c r="F108" s="400"/>
      <c r="G108" s="115" t="s">
        <v>259</v>
      </c>
      <c r="H108" s="416"/>
      <c r="I108" s="415"/>
      <c r="J108" s="406"/>
    </row>
    <row r="109" spans="2:10">
      <c r="B109" s="428"/>
      <c r="C109" s="413"/>
      <c r="D109" s="415"/>
      <c r="E109" s="415"/>
      <c r="F109" s="399" t="s">
        <v>260</v>
      </c>
      <c r="G109" s="115" t="s">
        <v>261</v>
      </c>
      <c r="H109" s="416"/>
      <c r="I109" s="415"/>
      <c r="J109" s="405" t="s">
        <v>262</v>
      </c>
    </row>
    <row r="110" spans="2:10">
      <c r="B110" s="428"/>
      <c r="C110" s="413"/>
      <c r="D110" s="415"/>
      <c r="E110" s="415"/>
      <c r="F110" s="415"/>
      <c r="G110" s="115" t="s">
        <v>263</v>
      </c>
      <c r="H110" s="416"/>
      <c r="I110" s="415"/>
      <c r="J110" s="410"/>
    </row>
    <row r="111" spans="2:10">
      <c r="B111" s="428"/>
      <c r="C111" s="413"/>
      <c r="D111" s="415"/>
      <c r="E111" s="415"/>
      <c r="F111" s="400"/>
      <c r="G111" s="115" t="s">
        <v>264</v>
      </c>
      <c r="H111" s="416"/>
      <c r="I111" s="415"/>
      <c r="J111" s="406"/>
    </row>
    <row r="112" spans="2:10">
      <c r="B112" s="428"/>
      <c r="C112" s="414"/>
      <c r="D112" s="400"/>
      <c r="E112" s="400"/>
      <c r="F112" s="115" t="s">
        <v>55</v>
      </c>
      <c r="G112" s="115" t="s">
        <v>265</v>
      </c>
      <c r="H112" s="404"/>
      <c r="I112" s="400"/>
      <c r="J112" s="123"/>
    </row>
    <row r="113" spans="2:10">
      <c r="B113" s="428"/>
      <c r="C113" s="412">
        <f>C97+1</f>
        <v>30044</v>
      </c>
      <c r="D113" s="399" t="str">
        <f>DEC2HEX(C113)</f>
        <v>755C</v>
      </c>
      <c r="E113" s="399" t="s">
        <v>212</v>
      </c>
      <c r="F113" s="399" t="s">
        <v>266</v>
      </c>
      <c r="G113" s="115" t="s">
        <v>242</v>
      </c>
      <c r="H113" s="403" t="s">
        <v>243</v>
      </c>
      <c r="I113" s="399" t="s">
        <v>5</v>
      </c>
      <c r="J113" s="405" t="s">
        <v>267</v>
      </c>
    </row>
    <row r="114" spans="2:10">
      <c r="B114" s="428"/>
      <c r="C114" s="413"/>
      <c r="D114" s="415"/>
      <c r="E114" s="415"/>
      <c r="F114" s="415"/>
      <c r="G114" s="115" t="s">
        <v>245</v>
      </c>
      <c r="H114" s="416"/>
      <c r="I114" s="415"/>
      <c r="J114" s="410"/>
    </row>
    <row r="115" spans="2:10">
      <c r="B115" s="428"/>
      <c r="C115" s="413"/>
      <c r="D115" s="415"/>
      <c r="E115" s="415"/>
      <c r="F115" s="400"/>
      <c r="G115" s="115" t="s">
        <v>246</v>
      </c>
      <c r="H115" s="416"/>
      <c r="I115" s="415"/>
      <c r="J115" s="406"/>
    </row>
    <row r="116" spans="2:10">
      <c r="B116" s="428"/>
      <c r="C116" s="413"/>
      <c r="D116" s="415"/>
      <c r="E116" s="415"/>
      <c r="F116" s="417" t="s">
        <v>58</v>
      </c>
      <c r="G116" s="138" t="s">
        <v>247</v>
      </c>
      <c r="H116" s="416"/>
      <c r="I116" s="415"/>
      <c r="J116" s="420"/>
    </row>
    <row r="117" spans="2:10">
      <c r="B117" s="428"/>
      <c r="C117" s="413"/>
      <c r="D117" s="415"/>
      <c r="E117" s="415"/>
      <c r="F117" s="418"/>
      <c r="G117" s="138" t="s">
        <v>248</v>
      </c>
      <c r="H117" s="416"/>
      <c r="I117" s="415"/>
      <c r="J117" s="421"/>
    </row>
    <row r="118" spans="2:10">
      <c r="B118" s="428"/>
      <c r="C118" s="413"/>
      <c r="D118" s="415"/>
      <c r="E118" s="415"/>
      <c r="F118" s="419"/>
      <c r="G118" s="138" t="s">
        <v>249</v>
      </c>
      <c r="H118" s="416"/>
      <c r="I118" s="415"/>
      <c r="J118" s="422"/>
    </row>
    <row r="119" spans="2:10">
      <c r="B119" s="428"/>
      <c r="C119" s="413"/>
      <c r="D119" s="415"/>
      <c r="E119" s="415"/>
      <c r="F119" s="417" t="s">
        <v>58</v>
      </c>
      <c r="G119" s="138" t="s">
        <v>251</v>
      </c>
      <c r="H119" s="416"/>
      <c r="I119" s="415"/>
      <c r="J119" s="420"/>
    </row>
    <row r="120" spans="2:10">
      <c r="B120" s="428"/>
      <c r="C120" s="413"/>
      <c r="D120" s="415"/>
      <c r="E120" s="415"/>
      <c r="F120" s="418"/>
      <c r="G120" s="138" t="s">
        <v>253</v>
      </c>
      <c r="H120" s="416"/>
      <c r="I120" s="415"/>
      <c r="J120" s="421"/>
    </row>
    <row r="121" spans="2:10">
      <c r="B121" s="428"/>
      <c r="C121" s="413"/>
      <c r="D121" s="415"/>
      <c r="E121" s="415"/>
      <c r="F121" s="419"/>
      <c r="G121" s="138" t="s">
        <v>254</v>
      </c>
      <c r="H121" s="416"/>
      <c r="I121" s="415"/>
      <c r="J121" s="422"/>
    </row>
    <row r="122" spans="2:10">
      <c r="B122" s="428"/>
      <c r="C122" s="413"/>
      <c r="D122" s="415"/>
      <c r="E122" s="415"/>
      <c r="F122" s="401" t="s">
        <v>55</v>
      </c>
      <c r="G122" s="115" t="s">
        <v>256</v>
      </c>
      <c r="H122" s="416"/>
      <c r="I122" s="415"/>
      <c r="J122" s="405"/>
    </row>
    <row r="123" spans="2:10">
      <c r="B123" s="428"/>
      <c r="C123" s="413"/>
      <c r="D123" s="415"/>
      <c r="E123" s="415"/>
      <c r="F123" s="411"/>
      <c r="G123" s="115" t="s">
        <v>258</v>
      </c>
      <c r="H123" s="416"/>
      <c r="I123" s="415"/>
      <c r="J123" s="410"/>
    </row>
    <row r="124" spans="2:10">
      <c r="B124" s="428"/>
      <c r="C124" s="413"/>
      <c r="D124" s="415"/>
      <c r="E124" s="415"/>
      <c r="F124" s="402"/>
      <c r="G124" s="115" t="s">
        <v>259</v>
      </c>
      <c r="H124" s="416"/>
      <c r="I124" s="415"/>
      <c r="J124" s="406"/>
    </row>
    <row r="125" spans="2:10">
      <c r="B125" s="428"/>
      <c r="C125" s="413"/>
      <c r="D125" s="415"/>
      <c r="E125" s="415"/>
      <c r="F125" s="417" t="s">
        <v>58</v>
      </c>
      <c r="G125" s="138" t="s">
        <v>261</v>
      </c>
      <c r="H125" s="416"/>
      <c r="I125" s="415"/>
      <c r="J125" s="417"/>
    </row>
    <row r="126" spans="2:10">
      <c r="B126" s="428"/>
      <c r="C126" s="413"/>
      <c r="D126" s="415"/>
      <c r="E126" s="415"/>
      <c r="F126" s="418"/>
      <c r="G126" s="138" t="s">
        <v>263</v>
      </c>
      <c r="H126" s="416"/>
      <c r="I126" s="415"/>
      <c r="J126" s="418"/>
    </row>
    <row r="127" spans="2:10">
      <c r="B127" s="428"/>
      <c r="C127" s="413"/>
      <c r="D127" s="415"/>
      <c r="E127" s="415"/>
      <c r="F127" s="419"/>
      <c r="G127" s="138" t="s">
        <v>264</v>
      </c>
      <c r="H127" s="416"/>
      <c r="I127" s="415"/>
      <c r="J127" s="419"/>
    </row>
    <row r="128" spans="2:10">
      <c r="B128" s="428"/>
      <c r="C128" s="414"/>
      <c r="D128" s="400"/>
      <c r="E128" s="400"/>
      <c r="F128" s="115" t="s">
        <v>55</v>
      </c>
      <c r="G128" s="115" t="s">
        <v>265</v>
      </c>
      <c r="H128" s="404"/>
      <c r="I128" s="400"/>
      <c r="J128" s="123"/>
    </row>
    <row r="129" spans="2:10">
      <c r="B129" s="428"/>
      <c r="C129" s="412">
        <f>C113+1</f>
        <v>30045</v>
      </c>
      <c r="D129" s="399" t="str">
        <f>DEC2HEX(C129)</f>
        <v>755D</v>
      </c>
      <c r="E129" s="399" t="s">
        <v>212</v>
      </c>
      <c r="F129" s="417" t="s">
        <v>58</v>
      </c>
      <c r="G129" s="138" t="s">
        <v>242</v>
      </c>
      <c r="H129" s="403" t="s">
        <v>243</v>
      </c>
      <c r="I129" s="399" t="s">
        <v>5</v>
      </c>
      <c r="J129" s="417"/>
    </row>
    <row r="130" spans="2:10">
      <c r="B130" s="428"/>
      <c r="C130" s="413"/>
      <c r="D130" s="415"/>
      <c r="E130" s="415"/>
      <c r="F130" s="418"/>
      <c r="G130" s="138" t="s">
        <v>245</v>
      </c>
      <c r="H130" s="416"/>
      <c r="I130" s="415"/>
      <c r="J130" s="418"/>
    </row>
    <row r="131" spans="2:10">
      <c r="B131" s="428"/>
      <c r="C131" s="413"/>
      <c r="D131" s="415"/>
      <c r="E131" s="415"/>
      <c r="F131" s="419"/>
      <c r="G131" s="138" t="s">
        <v>246</v>
      </c>
      <c r="H131" s="416"/>
      <c r="I131" s="415"/>
      <c r="J131" s="419"/>
    </row>
    <row r="132" spans="2:10">
      <c r="B132" s="428"/>
      <c r="C132" s="413"/>
      <c r="D132" s="415"/>
      <c r="E132" s="415"/>
      <c r="F132" s="417" t="s">
        <v>58</v>
      </c>
      <c r="G132" s="138" t="s">
        <v>247</v>
      </c>
      <c r="H132" s="416"/>
      <c r="I132" s="415"/>
      <c r="J132" s="417"/>
    </row>
    <row r="133" spans="2:10">
      <c r="B133" s="428"/>
      <c r="C133" s="413"/>
      <c r="D133" s="415"/>
      <c r="E133" s="415"/>
      <c r="F133" s="418"/>
      <c r="G133" s="138" t="s">
        <v>248</v>
      </c>
      <c r="H133" s="416"/>
      <c r="I133" s="415"/>
      <c r="J133" s="418"/>
    </row>
    <row r="134" spans="2:10">
      <c r="B134" s="428"/>
      <c r="C134" s="413"/>
      <c r="D134" s="415"/>
      <c r="E134" s="415"/>
      <c r="F134" s="419"/>
      <c r="G134" s="138" t="s">
        <v>249</v>
      </c>
      <c r="H134" s="416"/>
      <c r="I134" s="415"/>
      <c r="J134" s="419"/>
    </row>
    <row r="135" spans="2:10">
      <c r="B135" s="428"/>
      <c r="C135" s="413"/>
      <c r="D135" s="415"/>
      <c r="E135" s="415"/>
      <c r="F135" s="399" t="s">
        <v>268</v>
      </c>
      <c r="G135" s="115" t="s">
        <v>251</v>
      </c>
      <c r="H135" s="416"/>
      <c r="I135" s="415"/>
      <c r="J135" s="405" t="s">
        <v>269</v>
      </c>
    </row>
    <row r="136" spans="2:10">
      <c r="B136" s="428"/>
      <c r="C136" s="413"/>
      <c r="D136" s="415"/>
      <c r="E136" s="415"/>
      <c r="F136" s="415"/>
      <c r="G136" s="115" t="s">
        <v>253</v>
      </c>
      <c r="H136" s="416"/>
      <c r="I136" s="415"/>
      <c r="J136" s="410"/>
    </row>
    <row r="137" spans="2:10">
      <c r="B137" s="428"/>
      <c r="C137" s="413"/>
      <c r="D137" s="415"/>
      <c r="E137" s="415"/>
      <c r="F137" s="400"/>
      <c r="G137" s="115" t="s">
        <v>254</v>
      </c>
      <c r="H137" s="416"/>
      <c r="I137" s="415"/>
      <c r="J137" s="406"/>
    </row>
    <row r="138" spans="2:10">
      <c r="B138" s="428"/>
      <c r="C138" s="413"/>
      <c r="D138" s="415"/>
      <c r="E138" s="415"/>
      <c r="F138" s="401" t="s">
        <v>55</v>
      </c>
      <c r="G138" s="115" t="s">
        <v>256</v>
      </c>
      <c r="H138" s="416"/>
      <c r="I138" s="415"/>
      <c r="J138" s="401" t="s">
        <v>55</v>
      </c>
    </row>
    <row r="139" spans="2:10">
      <c r="B139" s="428"/>
      <c r="C139" s="413"/>
      <c r="D139" s="415"/>
      <c r="E139" s="415"/>
      <c r="F139" s="411"/>
      <c r="G139" s="115" t="s">
        <v>258</v>
      </c>
      <c r="H139" s="416"/>
      <c r="I139" s="415"/>
      <c r="J139" s="411"/>
    </row>
    <row r="140" spans="2:10">
      <c r="B140" s="428"/>
      <c r="C140" s="413"/>
      <c r="D140" s="415"/>
      <c r="E140" s="415"/>
      <c r="F140" s="402"/>
      <c r="G140" s="115" t="s">
        <v>259</v>
      </c>
      <c r="H140" s="416"/>
      <c r="I140" s="415"/>
      <c r="J140" s="402"/>
    </row>
    <row r="141" spans="2:10">
      <c r="B141" s="428"/>
      <c r="C141" s="413"/>
      <c r="D141" s="415"/>
      <c r="E141" s="415"/>
      <c r="F141" s="417" t="s">
        <v>58</v>
      </c>
      <c r="G141" s="138" t="s">
        <v>261</v>
      </c>
      <c r="H141" s="416"/>
      <c r="I141" s="415"/>
      <c r="J141" s="417"/>
    </row>
    <row r="142" spans="2:10">
      <c r="B142" s="428"/>
      <c r="C142" s="413"/>
      <c r="D142" s="415"/>
      <c r="E142" s="415"/>
      <c r="F142" s="418"/>
      <c r="G142" s="138" t="s">
        <v>263</v>
      </c>
      <c r="H142" s="416"/>
      <c r="I142" s="415"/>
      <c r="J142" s="418"/>
    </row>
    <row r="143" spans="2:10">
      <c r="B143" s="428"/>
      <c r="C143" s="413"/>
      <c r="D143" s="415"/>
      <c r="E143" s="415"/>
      <c r="F143" s="419"/>
      <c r="G143" s="138" t="s">
        <v>264</v>
      </c>
      <c r="H143" s="416"/>
      <c r="I143" s="415"/>
      <c r="J143" s="419"/>
    </row>
    <row r="144" spans="2:10">
      <c r="B144" s="428"/>
      <c r="C144" s="414"/>
      <c r="D144" s="400"/>
      <c r="E144" s="400"/>
      <c r="F144" s="115" t="s">
        <v>55</v>
      </c>
      <c r="G144" s="115" t="s">
        <v>265</v>
      </c>
      <c r="H144" s="404"/>
      <c r="I144" s="400"/>
      <c r="J144" s="123" t="s">
        <v>55</v>
      </c>
    </row>
    <row r="145" spans="2:10">
      <c r="B145" s="428"/>
      <c r="C145" s="412">
        <f>C113+2</f>
        <v>30046</v>
      </c>
      <c r="D145" s="399" t="str">
        <f>DEC2HEX(C145)</f>
        <v>755E</v>
      </c>
      <c r="E145" s="399" t="s">
        <v>212</v>
      </c>
      <c r="F145" s="401" t="s">
        <v>55</v>
      </c>
      <c r="G145" s="115" t="s">
        <v>242</v>
      </c>
      <c r="H145" s="403" t="s">
        <v>243</v>
      </c>
      <c r="I145" s="399" t="s">
        <v>5</v>
      </c>
      <c r="J145" s="405" t="s">
        <v>55</v>
      </c>
    </row>
    <row r="146" spans="2:10">
      <c r="B146" s="428"/>
      <c r="C146" s="413"/>
      <c r="D146" s="415"/>
      <c r="E146" s="415"/>
      <c r="F146" s="411"/>
      <c r="G146" s="115" t="s">
        <v>245</v>
      </c>
      <c r="H146" s="416"/>
      <c r="I146" s="415"/>
      <c r="J146" s="410"/>
    </row>
    <row r="147" spans="2:10">
      <c r="B147" s="428"/>
      <c r="C147" s="413"/>
      <c r="D147" s="415"/>
      <c r="E147" s="415"/>
      <c r="F147" s="402"/>
      <c r="G147" s="115" t="s">
        <v>246</v>
      </c>
      <c r="H147" s="416"/>
      <c r="I147" s="415"/>
      <c r="J147" s="406"/>
    </row>
    <row r="148" spans="2:10">
      <c r="B148" s="428"/>
      <c r="C148" s="413"/>
      <c r="D148" s="415"/>
      <c r="E148" s="415"/>
      <c r="F148" s="401" t="s">
        <v>55</v>
      </c>
      <c r="G148" s="115" t="s">
        <v>247</v>
      </c>
      <c r="H148" s="416"/>
      <c r="I148" s="415"/>
      <c r="J148" s="405" t="s">
        <v>55</v>
      </c>
    </row>
    <row r="149" spans="2:10">
      <c r="B149" s="428"/>
      <c r="C149" s="413"/>
      <c r="D149" s="415"/>
      <c r="E149" s="415"/>
      <c r="F149" s="411"/>
      <c r="G149" s="115" t="s">
        <v>248</v>
      </c>
      <c r="H149" s="416"/>
      <c r="I149" s="415"/>
      <c r="J149" s="410"/>
    </row>
    <row r="150" spans="2:10">
      <c r="B150" s="428"/>
      <c r="C150" s="413"/>
      <c r="D150" s="415"/>
      <c r="E150" s="415"/>
      <c r="F150" s="402"/>
      <c r="G150" s="115" t="s">
        <v>249</v>
      </c>
      <c r="H150" s="416"/>
      <c r="I150" s="415"/>
      <c r="J150" s="406"/>
    </row>
    <row r="151" spans="2:10">
      <c r="B151" s="428"/>
      <c r="C151" s="413"/>
      <c r="D151" s="415"/>
      <c r="E151" s="415"/>
      <c r="F151" s="401" t="s">
        <v>55</v>
      </c>
      <c r="G151" s="115" t="s">
        <v>251</v>
      </c>
      <c r="H151" s="416"/>
      <c r="I151" s="415"/>
      <c r="J151" s="405" t="s">
        <v>55</v>
      </c>
    </row>
    <row r="152" spans="2:10">
      <c r="B152" s="428"/>
      <c r="C152" s="413"/>
      <c r="D152" s="415"/>
      <c r="E152" s="415"/>
      <c r="F152" s="411"/>
      <c r="G152" s="115" t="s">
        <v>253</v>
      </c>
      <c r="H152" s="416"/>
      <c r="I152" s="415"/>
      <c r="J152" s="410"/>
    </row>
    <row r="153" spans="2:10">
      <c r="B153" s="428"/>
      <c r="C153" s="413"/>
      <c r="D153" s="415"/>
      <c r="E153" s="415"/>
      <c r="F153" s="402"/>
      <c r="G153" s="115" t="s">
        <v>254</v>
      </c>
      <c r="H153" s="416"/>
      <c r="I153" s="415"/>
      <c r="J153" s="406"/>
    </row>
    <row r="154" spans="2:10">
      <c r="B154" s="428"/>
      <c r="C154" s="413"/>
      <c r="D154" s="415"/>
      <c r="E154" s="415"/>
      <c r="F154" s="417" t="s">
        <v>58</v>
      </c>
      <c r="G154" s="138" t="s">
        <v>256</v>
      </c>
      <c r="H154" s="416"/>
      <c r="I154" s="415"/>
      <c r="J154" s="420"/>
    </row>
    <row r="155" spans="2:10">
      <c r="B155" s="428"/>
      <c r="C155" s="413"/>
      <c r="D155" s="415"/>
      <c r="E155" s="415"/>
      <c r="F155" s="418"/>
      <c r="G155" s="138" t="s">
        <v>258</v>
      </c>
      <c r="H155" s="416"/>
      <c r="I155" s="415"/>
      <c r="J155" s="421"/>
    </row>
    <row r="156" spans="2:10">
      <c r="B156" s="428"/>
      <c r="C156" s="413"/>
      <c r="D156" s="415"/>
      <c r="E156" s="415"/>
      <c r="F156" s="419"/>
      <c r="G156" s="138" t="s">
        <v>259</v>
      </c>
      <c r="H156" s="416"/>
      <c r="I156" s="415"/>
      <c r="J156" s="422"/>
    </row>
    <row r="157" spans="2:10">
      <c r="B157" s="428"/>
      <c r="C157" s="413"/>
      <c r="D157" s="415"/>
      <c r="E157" s="415"/>
      <c r="F157" s="417" t="s">
        <v>58</v>
      </c>
      <c r="G157" s="138" t="s">
        <v>261</v>
      </c>
      <c r="H157" s="416"/>
      <c r="I157" s="415"/>
      <c r="J157" s="420"/>
    </row>
    <row r="158" spans="2:10">
      <c r="B158" s="428"/>
      <c r="C158" s="413"/>
      <c r="D158" s="415"/>
      <c r="E158" s="415"/>
      <c r="F158" s="418"/>
      <c r="G158" s="138" t="s">
        <v>263</v>
      </c>
      <c r="H158" s="416"/>
      <c r="I158" s="415"/>
      <c r="J158" s="421"/>
    </row>
    <row r="159" spans="2:10">
      <c r="B159" s="428"/>
      <c r="C159" s="413"/>
      <c r="D159" s="415"/>
      <c r="E159" s="415"/>
      <c r="F159" s="419"/>
      <c r="G159" s="138" t="s">
        <v>264</v>
      </c>
      <c r="H159" s="416"/>
      <c r="I159" s="415"/>
      <c r="J159" s="422"/>
    </row>
    <row r="160" spans="2:10">
      <c r="B160" s="428"/>
      <c r="C160" s="414"/>
      <c r="D160" s="400"/>
      <c r="E160" s="400"/>
      <c r="F160" s="144" t="s">
        <v>55</v>
      </c>
      <c r="G160" s="115" t="s">
        <v>265</v>
      </c>
      <c r="H160" s="404"/>
      <c r="I160" s="400"/>
      <c r="J160" s="123" t="s">
        <v>55</v>
      </c>
    </row>
    <row r="161" spans="2:10">
      <c r="B161" s="428"/>
      <c r="C161" s="412">
        <f>C145+1</f>
        <v>30047</v>
      </c>
      <c r="D161" s="399" t="str">
        <f>DEC2HEX(C161)</f>
        <v>755F</v>
      </c>
      <c r="E161" s="399" t="s">
        <v>212</v>
      </c>
      <c r="F161" s="417" t="s">
        <v>58</v>
      </c>
      <c r="G161" s="138" t="s">
        <v>242</v>
      </c>
      <c r="H161" s="403" t="s">
        <v>243</v>
      </c>
      <c r="I161" s="399" t="s">
        <v>5</v>
      </c>
      <c r="J161" s="420"/>
    </row>
    <row r="162" spans="2:10">
      <c r="B162" s="428"/>
      <c r="C162" s="413"/>
      <c r="D162" s="415"/>
      <c r="E162" s="415"/>
      <c r="F162" s="418"/>
      <c r="G162" s="138" t="s">
        <v>245</v>
      </c>
      <c r="H162" s="416"/>
      <c r="I162" s="415"/>
      <c r="J162" s="421"/>
    </row>
    <row r="163" spans="2:10">
      <c r="B163" s="428"/>
      <c r="C163" s="413"/>
      <c r="D163" s="415"/>
      <c r="E163" s="415"/>
      <c r="F163" s="419"/>
      <c r="G163" s="138" t="s">
        <v>246</v>
      </c>
      <c r="H163" s="416"/>
      <c r="I163" s="415"/>
      <c r="J163" s="422"/>
    </row>
    <row r="164" spans="2:10">
      <c r="B164" s="428"/>
      <c r="C164" s="413"/>
      <c r="D164" s="415"/>
      <c r="E164" s="415"/>
      <c r="F164" s="423" t="s">
        <v>270</v>
      </c>
      <c r="G164" s="115" t="s">
        <v>247</v>
      </c>
      <c r="H164" s="416"/>
      <c r="I164" s="415"/>
      <c r="J164" s="405" t="s">
        <v>271</v>
      </c>
    </row>
    <row r="165" spans="2:10">
      <c r="B165" s="428"/>
      <c r="C165" s="413"/>
      <c r="D165" s="415"/>
      <c r="E165" s="415"/>
      <c r="F165" s="424"/>
      <c r="G165" s="115" t="s">
        <v>248</v>
      </c>
      <c r="H165" s="416"/>
      <c r="I165" s="415"/>
      <c r="J165" s="410"/>
    </row>
    <row r="166" spans="2:10">
      <c r="B166" s="428"/>
      <c r="C166" s="413"/>
      <c r="D166" s="415"/>
      <c r="E166" s="415"/>
      <c r="F166" s="425"/>
      <c r="G166" s="115" t="s">
        <v>249</v>
      </c>
      <c r="H166" s="416"/>
      <c r="I166" s="415"/>
      <c r="J166" s="406"/>
    </row>
    <row r="167" spans="2:10">
      <c r="B167" s="428"/>
      <c r="C167" s="413"/>
      <c r="D167" s="415"/>
      <c r="E167" s="415"/>
      <c r="F167" s="417" t="s">
        <v>58</v>
      </c>
      <c r="G167" s="138" t="s">
        <v>251</v>
      </c>
      <c r="H167" s="416"/>
      <c r="I167" s="415"/>
      <c r="J167" s="420"/>
    </row>
    <row r="168" spans="2:10">
      <c r="B168" s="428"/>
      <c r="C168" s="413"/>
      <c r="D168" s="415"/>
      <c r="E168" s="415"/>
      <c r="F168" s="418"/>
      <c r="G168" s="138" t="s">
        <v>253</v>
      </c>
      <c r="H168" s="416"/>
      <c r="I168" s="415"/>
      <c r="J168" s="421"/>
    </row>
    <row r="169" spans="2:10">
      <c r="B169" s="428"/>
      <c r="C169" s="413"/>
      <c r="D169" s="415"/>
      <c r="E169" s="415"/>
      <c r="F169" s="419"/>
      <c r="G169" s="138" t="s">
        <v>254</v>
      </c>
      <c r="H169" s="416"/>
      <c r="I169" s="415"/>
      <c r="J169" s="422"/>
    </row>
    <row r="170" spans="2:10">
      <c r="B170" s="428"/>
      <c r="C170" s="413"/>
      <c r="D170" s="415"/>
      <c r="E170" s="415"/>
      <c r="F170" s="399" t="s">
        <v>272</v>
      </c>
      <c r="G170" s="115" t="s">
        <v>256</v>
      </c>
      <c r="H170" s="416"/>
      <c r="I170" s="415"/>
      <c r="J170" s="405"/>
    </row>
    <row r="171" spans="2:10">
      <c r="B171" s="428"/>
      <c r="C171" s="413"/>
      <c r="D171" s="415"/>
      <c r="E171" s="415"/>
      <c r="F171" s="415"/>
      <c r="G171" s="115" t="s">
        <v>258</v>
      </c>
      <c r="H171" s="416"/>
      <c r="I171" s="415"/>
      <c r="J171" s="410"/>
    </row>
    <row r="172" spans="2:10">
      <c r="B172" s="428"/>
      <c r="C172" s="413"/>
      <c r="D172" s="415"/>
      <c r="E172" s="415"/>
      <c r="F172" s="400"/>
      <c r="G172" s="115" t="s">
        <v>259</v>
      </c>
      <c r="H172" s="416"/>
      <c r="I172" s="415"/>
      <c r="J172" s="406"/>
    </row>
    <row r="173" spans="2:10">
      <c r="B173" s="428"/>
      <c r="C173" s="413"/>
      <c r="D173" s="415"/>
      <c r="E173" s="415"/>
      <c r="F173" s="417" t="s">
        <v>58</v>
      </c>
      <c r="G173" s="138" t="s">
        <v>261</v>
      </c>
      <c r="H173" s="416"/>
      <c r="I173" s="415"/>
      <c r="J173" s="420"/>
    </row>
    <row r="174" spans="2:10">
      <c r="B174" s="428"/>
      <c r="C174" s="413"/>
      <c r="D174" s="415"/>
      <c r="E174" s="415"/>
      <c r="F174" s="418"/>
      <c r="G174" s="138" t="s">
        <v>263</v>
      </c>
      <c r="H174" s="416"/>
      <c r="I174" s="415"/>
      <c r="J174" s="421"/>
    </row>
    <row r="175" spans="2:10">
      <c r="B175" s="428"/>
      <c r="C175" s="413"/>
      <c r="D175" s="415"/>
      <c r="E175" s="415"/>
      <c r="F175" s="419"/>
      <c r="G175" s="138" t="s">
        <v>264</v>
      </c>
      <c r="H175" s="416"/>
      <c r="I175" s="415"/>
      <c r="J175" s="422"/>
    </row>
    <row r="176" spans="2:10">
      <c r="B176" s="428"/>
      <c r="C176" s="414"/>
      <c r="D176" s="400"/>
      <c r="E176" s="400"/>
      <c r="F176" s="115" t="s">
        <v>55</v>
      </c>
      <c r="G176" s="115" t="s">
        <v>265</v>
      </c>
      <c r="H176" s="404"/>
      <c r="I176" s="400"/>
      <c r="J176" s="116" t="s">
        <v>55</v>
      </c>
    </row>
    <row r="177" spans="2:10">
      <c r="B177" s="428"/>
      <c r="C177" s="412">
        <f>C145+2</f>
        <v>30048</v>
      </c>
      <c r="D177" s="399" t="str">
        <f>DEC2HEX(C177)</f>
        <v>7560</v>
      </c>
      <c r="E177" s="399" t="s">
        <v>212</v>
      </c>
      <c r="F177" s="399" t="s">
        <v>273</v>
      </c>
      <c r="G177" s="115" t="s">
        <v>242</v>
      </c>
      <c r="H177" s="403" t="s">
        <v>243</v>
      </c>
      <c r="I177" s="399" t="s">
        <v>5</v>
      </c>
      <c r="J177" s="405" t="s">
        <v>274</v>
      </c>
    </row>
    <row r="178" spans="2:10">
      <c r="B178" s="428"/>
      <c r="C178" s="413"/>
      <c r="D178" s="415"/>
      <c r="E178" s="415"/>
      <c r="F178" s="415"/>
      <c r="G178" s="115" t="s">
        <v>245</v>
      </c>
      <c r="H178" s="416"/>
      <c r="I178" s="415"/>
      <c r="J178" s="410"/>
    </row>
    <row r="179" spans="2:10">
      <c r="B179" s="428"/>
      <c r="C179" s="413"/>
      <c r="D179" s="415"/>
      <c r="E179" s="415"/>
      <c r="F179" s="400"/>
      <c r="G179" s="115" t="s">
        <v>246</v>
      </c>
      <c r="H179" s="416"/>
      <c r="I179" s="415"/>
      <c r="J179" s="406"/>
    </row>
    <row r="180" spans="2:10">
      <c r="B180" s="428"/>
      <c r="C180" s="413"/>
      <c r="D180" s="415"/>
      <c r="E180" s="415"/>
      <c r="F180" s="401" t="s">
        <v>62</v>
      </c>
      <c r="G180" s="115" t="s">
        <v>247</v>
      </c>
      <c r="H180" s="416"/>
      <c r="I180" s="415"/>
      <c r="J180" s="405"/>
    </row>
    <row r="181" spans="2:10">
      <c r="B181" s="428"/>
      <c r="C181" s="413"/>
      <c r="D181" s="415"/>
      <c r="E181" s="415"/>
      <c r="F181" s="411"/>
      <c r="G181" s="115" t="s">
        <v>248</v>
      </c>
      <c r="H181" s="416"/>
      <c r="I181" s="415"/>
      <c r="J181" s="410"/>
    </row>
    <row r="182" spans="2:10">
      <c r="B182" s="428"/>
      <c r="C182" s="413"/>
      <c r="D182" s="415"/>
      <c r="E182" s="415"/>
      <c r="F182" s="402"/>
      <c r="G182" s="115" t="s">
        <v>249</v>
      </c>
      <c r="H182" s="416"/>
      <c r="I182" s="415"/>
      <c r="J182" s="406"/>
    </row>
    <row r="183" spans="2:10">
      <c r="B183" s="428"/>
      <c r="C183" s="413"/>
      <c r="D183" s="415"/>
      <c r="E183" s="415"/>
      <c r="F183" s="401" t="s">
        <v>62</v>
      </c>
      <c r="G183" s="115" t="s">
        <v>251</v>
      </c>
      <c r="H183" s="416"/>
      <c r="I183" s="415"/>
      <c r="J183" s="405"/>
    </row>
    <row r="184" spans="2:10">
      <c r="B184" s="428"/>
      <c r="C184" s="413"/>
      <c r="D184" s="415"/>
      <c r="E184" s="415"/>
      <c r="F184" s="411"/>
      <c r="G184" s="115" t="s">
        <v>253</v>
      </c>
      <c r="H184" s="416"/>
      <c r="I184" s="415"/>
      <c r="J184" s="410"/>
    </row>
    <row r="185" spans="2:10">
      <c r="B185" s="428"/>
      <c r="C185" s="413"/>
      <c r="D185" s="415"/>
      <c r="E185" s="415"/>
      <c r="F185" s="402"/>
      <c r="G185" s="115" t="s">
        <v>254</v>
      </c>
      <c r="H185" s="416"/>
      <c r="I185" s="415"/>
      <c r="J185" s="406"/>
    </row>
    <row r="186" spans="2:10">
      <c r="B186" s="428"/>
      <c r="C186" s="413"/>
      <c r="D186" s="415"/>
      <c r="E186" s="415"/>
      <c r="F186" s="401" t="s">
        <v>62</v>
      </c>
      <c r="G186" s="115" t="s">
        <v>256</v>
      </c>
      <c r="H186" s="416"/>
      <c r="I186" s="415"/>
      <c r="J186" s="405"/>
    </row>
    <row r="187" spans="2:10">
      <c r="B187" s="428"/>
      <c r="C187" s="413"/>
      <c r="D187" s="415"/>
      <c r="E187" s="415"/>
      <c r="F187" s="411"/>
      <c r="G187" s="115" t="s">
        <v>258</v>
      </c>
      <c r="H187" s="416"/>
      <c r="I187" s="415"/>
      <c r="J187" s="410"/>
    </row>
    <row r="188" spans="2:10">
      <c r="B188" s="428"/>
      <c r="C188" s="413"/>
      <c r="D188" s="415"/>
      <c r="E188" s="415"/>
      <c r="F188" s="402"/>
      <c r="G188" s="115" t="s">
        <v>259</v>
      </c>
      <c r="H188" s="416"/>
      <c r="I188" s="415"/>
      <c r="J188" s="406"/>
    </row>
    <row r="189" spans="2:10">
      <c r="B189" s="428"/>
      <c r="C189" s="413"/>
      <c r="D189" s="415"/>
      <c r="E189" s="415"/>
      <c r="F189" s="401" t="s">
        <v>55</v>
      </c>
      <c r="G189" s="115" t="s">
        <v>261</v>
      </c>
      <c r="H189" s="416"/>
      <c r="I189" s="415"/>
      <c r="J189" s="405" t="s">
        <v>55</v>
      </c>
    </row>
    <row r="190" spans="2:10">
      <c r="B190" s="428"/>
      <c r="C190" s="413"/>
      <c r="D190" s="415"/>
      <c r="E190" s="415"/>
      <c r="F190" s="411"/>
      <c r="G190" s="115" t="s">
        <v>263</v>
      </c>
      <c r="H190" s="416"/>
      <c r="I190" s="415"/>
      <c r="J190" s="410"/>
    </row>
    <row r="191" spans="2:10">
      <c r="B191" s="428"/>
      <c r="C191" s="413"/>
      <c r="D191" s="415"/>
      <c r="E191" s="415"/>
      <c r="F191" s="402"/>
      <c r="G191" s="115" t="s">
        <v>264</v>
      </c>
      <c r="H191" s="416"/>
      <c r="I191" s="415"/>
      <c r="J191" s="406"/>
    </row>
    <row r="192" spans="2:10">
      <c r="B192" s="428"/>
      <c r="C192" s="414"/>
      <c r="D192" s="400"/>
      <c r="E192" s="400"/>
      <c r="F192" s="115" t="s">
        <v>55</v>
      </c>
      <c r="G192" s="115" t="s">
        <v>265</v>
      </c>
      <c r="H192" s="404"/>
      <c r="I192" s="400"/>
      <c r="J192" s="116" t="s">
        <v>55</v>
      </c>
    </row>
    <row r="193" spans="2:10">
      <c r="B193" s="428"/>
      <c r="C193" s="412">
        <f>C177+1</f>
        <v>30049</v>
      </c>
      <c r="D193" s="399" t="str">
        <f>DEC2HEX(C193)</f>
        <v>7561</v>
      </c>
      <c r="E193" s="399" t="s">
        <v>212</v>
      </c>
      <c r="F193" s="401" t="s">
        <v>55</v>
      </c>
      <c r="G193" s="115" t="s">
        <v>242</v>
      </c>
      <c r="H193" s="403" t="s">
        <v>243</v>
      </c>
      <c r="I193" s="399" t="s">
        <v>5</v>
      </c>
      <c r="J193" s="405" t="s">
        <v>55</v>
      </c>
    </row>
    <row r="194" spans="2:10">
      <c r="B194" s="428"/>
      <c r="C194" s="413"/>
      <c r="D194" s="415"/>
      <c r="E194" s="415"/>
      <c r="F194" s="411"/>
      <c r="G194" s="115" t="s">
        <v>245</v>
      </c>
      <c r="H194" s="416"/>
      <c r="I194" s="415"/>
      <c r="J194" s="410"/>
    </row>
    <row r="195" spans="2:10">
      <c r="B195" s="428"/>
      <c r="C195" s="413"/>
      <c r="D195" s="415"/>
      <c r="E195" s="415"/>
      <c r="F195" s="402"/>
      <c r="G195" s="115" t="s">
        <v>246</v>
      </c>
      <c r="H195" s="416"/>
      <c r="I195" s="415"/>
      <c r="J195" s="406"/>
    </row>
    <row r="196" spans="2:10">
      <c r="B196" s="428"/>
      <c r="C196" s="413"/>
      <c r="D196" s="415"/>
      <c r="E196" s="415"/>
      <c r="F196" s="401" t="s">
        <v>62</v>
      </c>
      <c r="G196" s="115" t="s">
        <v>247</v>
      </c>
      <c r="H196" s="416"/>
      <c r="I196" s="415"/>
      <c r="J196" s="405"/>
    </row>
    <row r="197" spans="2:10">
      <c r="B197" s="428"/>
      <c r="C197" s="413"/>
      <c r="D197" s="415"/>
      <c r="E197" s="415"/>
      <c r="F197" s="411"/>
      <c r="G197" s="115" t="s">
        <v>248</v>
      </c>
      <c r="H197" s="416"/>
      <c r="I197" s="415"/>
      <c r="J197" s="410"/>
    </row>
    <row r="198" spans="2:10">
      <c r="B198" s="428"/>
      <c r="C198" s="413"/>
      <c r="D198" s="415"/>
      <c r="E198" s="415"/>
      <c r="F198" s="402"/>
      <c r="G198" s="115" t="s">
        <v>249</v>
      </c>
      <c r="H198" s="416"/>
      <c r="I198" s="415"/>
      <c r="J198" s="406"/>
    </row>
    <row r="199" spans="2:10">
      <c r="B199" s="428"/>
      <c r="C199" s="413"/>
      <c r="D199" s="415"/>
      <c r="E199" s="415"/>
      <c r="F199" s="401" t="s">
        <v>62</v>
      </c>
      <c r="G199" s="115" t="s">
        <v>251</v>
      </c>
      <c r="H199" s="416"/>
      <c r="I199" s="415"/>
      <c r="J199" s="405"/>
    </row>
    <row r="200" spans="2:10">
      <c r="B200" s="428"/>
      <c r="C200" s="413"/>
      <c r="D200" s="415"/>
      <c r="E200" s="415"/>
      <c r="F200" s="411"/>
      <c r="G200" s="115" t="s">
        <v>253</v>
      </c>
      <c r="H200" s="416"/>
      <c r="I200" s="415"/>
      <c r="J200" s="410"/>
    </row>
    <row r="201" spans="2:10">
      <c r="B201" s="428"/>
      <c r="C201" s="413"/>
      <c r="D201" s="415"/>
      <c r="E201" s="415"/>
      <c r="F201" s="402"/>
      <c r="G201" s="115" t="s">
        <v>254</v>
      </c>
      <c r="H201" s="416"/>
      <c r="I201" s="415"/>
      <c r="J201" s="406"/>
    </row>
    <row r="202" spans="2:10">
      <c r="B202" s="428"/>
      <c r="C202" s="413"/>
      <c r="D202" s="415"/>
      <c r="E202" s="415"/>
      <c r="F202" s="401" t="s">
        <v>55</v>
      </c>
      <c r="G202" s="115" t="s">
        <v>256</v>
      </c>
      <c r="H202" s="416"/>
      <c r="I202" s="415"/>
      <c r="J202" s="405" t="s">
        <v>55</v>
      </c>
    </row>
    <row r="203" spans="2:10">
      <c r="B203" s="428"/>
      <c r="C203" s="413"/>
      <c r="D203" s="415"/>
      <c r="E203" s="415"/>
      <c r="F203" s="411"/>
      <c r="G203" s="115" t="s">
        <v>258</v>
      </c>
      <c r="H203" s="416"/>
      <c r="I203" s="415"/>
      <c r="J203" s="410"/>
    </row>
    <row r="204" spans="2:10">
      <c r="B204" s="428"/>
      <c r="C204" s="413"/>
      <c r="D204" s="415"/>
      <c r="E204" s="415"/>
      <c r="F204" s="402"/>
      <c r="G204" s="115" t="s">
        <v>259</v>
      </c>
      <c r="H204" s="416"/>
      <c r="I204" s="415"/>
      <c r="J204" s="406"/>
    </row>
    <row r="205" spans="2:10">
      <c r="B205" s="428"/>
      <c r="C205" s="413"/>
      <c r="D205" s="415"/>
      <c r="E205" s="415"/>
      <c r="F205" s="401" t="s">
        <v>55</v>
      </c>
      <c r="G205" s="115" t="s">
        <v>261</v>
      </c>
      <c r="H205" s="416"/>
      <c r="I205" s="415"/>
      <c r="J205" s="405" t="s">
        <v>55</v>
      </c>
    </row>
    <row r="206" spans="2:10">
      <c r="B206" s="428"/>
      <c r="C206" s="413"/>
      <c r="D206" s="415"/>
      <c r="E206" s="415"/>
      <c r="F206" s="411"/>
      <c r="G206" s="115" t="s">
        <v>263</v>
      </c>
      <c r="H206" s="416"/>
      <c r="I206" s="415"/>
      <c r="J206" s="410"/>
    </row>
    <row r="207" spans="2:10">
      <c r="B207" s="428"/>
      <c r="C207" s="413"/>
      <c r="D207" s="415"/>
      <c r="E207" s="415"/>
      <c r="F207" s="402"/>
      <c r="G207" s="115" t="s">
        <v>264</v>
      </c>
      <c r="H207" s="416"/>
      <c r="I207" s="415"/>
      <c r="J207" s="406"/>
    </row>
    <row r="208" spans="2:10">
      <c r="B208" s="428"/>
      <c r="C208" s="414"/>
      <c r="D208" s="400"/>
      <c r="E208" s="400"/>
      <c r="F208" s="115" t="s">
        <v>55</v>
      </c>
      <c r="G208" s="115" t="s">
        <v>265</v>
      </c>
      <c r="H208" s="404"/>
      <c r="I208" s="400"/>
      <c r="J208" s="116" t="s">
        <v>55</v>
      </c>
    </row>
    <row r="209" spans="2:10">
      <c r="B209" s="428"/>
      <c r="C209" s="412">
        <f>C193+1</f>
        <v>30050</v>
      </c>
      <c r="D209" s="399" t="str">
        <f>DEC2HEX(C209)</f>
        <v>7562</v>
      </c>
      <c r="E209" s="399" t="s">
        <v>212</v>
      </c>
      <c r="F209" s="401" t="s">
        <v>55</v>
      </c>
      <c r="G209" s="115" t="s">
        <v>242</v>
      </c>
      <c r="H209" s="403" t="s">
        <v>243</v>
      </c>
      <c r="I209" s="399" t="s">
        <v>5</v>
      </c>
      <c r="J209" s="405" t="s">
        <v>55</v>
      </c>
    </row>
    <row r="210" spans="2:10">
      <c r="B210" s="428"/>
      <c r="C210" s="413"/>
      <c r="D210" s="415"/>
      <c r="E210" s="415"/>
      <c r="F210" s="411"/>
      <c r="G210" s="115" t="s">
        <v>245</v>
      </c>
      <c r="H210" s="416"/>
      <c r="I210" s="415"/>
      <c r="J210" s="410"/>
    </row>
    <row r="211" spans="2:10">
      <c r="B211" s="428"/>
      <c r="C211" s="413"/>
      <c r="D211" s="415"/>
      <c r="E211" s="415"/>
      <c r="F211" s="402"/>
      <c r="G211" s="115" t="s">
        <v>246</v>
      </c>
      <c r="H211" s="416"/>
      <c r="I211" s="415"/>
      <c r="J211" s="406"/>
    </row>
    <row r="212" spans="2:10">
      <c r="B212" s="428"/>
      <c r="C212" s="413"/>
      <c r="D212" s="415"/>
      <c r="E212" s="415"/>
      <c r="F212" s="401" t="s">
        <v>55</v>
      </c>
      <c r="G212" s="115" t="s">
        <v>247</v>
      </c>
      <c r="H212" s="416"/>
      <c r="I212" s="415"/>
      <c r="J212" s="405" t="s">
        <v>55</v>
      </c>
    </row>
    <row r="213" spans="2:10">
      <c r="B213" s="428"/>
      <c r="C213" s="413"/>
      <c r="D213" s="415"/>
      <c r="E213" s="415"/>
      <c r="F213" s="411"/>
      <c r="G213" s="115" t="s">
        <v>248</v>
      </c>
      <c r="H213" s="416"/>
      <c r="I213" s="415"/>
      <c r="J213" s="410"/>
    </row>
    <row r="214" spans="2:10">
      <c r="B214" s="428"/>
      <c r="C214" s="413"/>
      <c r="D214" s="415"/>
      <c r="E214" s="415"/>
      <c r="F214" s="402"/>
      <c r="G214" s="115" t="s">
        <v>249</v>
      </c>
      <c r="H214" s="416"/>
      <c r="I214" s="415"/>
      <c r="J214" s="406"/>
    </row>
    <row r="215" spans="2:10">
      <c r="B215" s="428"/>
      <c r="C215" s="413"/>
      <c r="D215" s="415"/>
      <c r="E215" s="415"/>
      <c r="F215" s="401" t="s">
        <v>55</v>
      </c>
      <c r="G215" s="115" t="s">
        <v>251</v>
      </c>
      <c r="H215" s="416"/>
      <c r="I215" s="415"/>
      <c r="J215" s="405" t="s">
        <v>55</v>
      </c>
    </row>
    <row r="216" spans="2:10">
      <c r="B216" s="428"/>
      <c r="C216" s="413"/>
      <c r="D216" s="415"/>
      <c r="E216" s="415"/>
      <c r="F216" s="411"/>
      <c r="G216" s="115" t="s">
        <v>253</v>
      </c>
      <c r="H216" s="416"/>
      <c r="I216" s="415"/>
      <c r="J216" s="410"/>
    </row>
    <row r="217" spans="2:10">
      <c r="B217" s="428"/>
      <c r="C217" s="413"/>
      <c r="D217" s="415"/>
      <c r="E217" s="415"/>
      <c r="F217" s="402"/>
      <c r="G217" s="115" t="s">
        <v>254</v>
      </c>
      <c r="H217" s="416"/>
      <c r="I217" s="415"/>
      <c r="J217" s="406"/>
    </row>
    <row r="218" spans="2:10">
      <c r="B218" s="428"/>
      <c r="C218" s="413"/>
      <c r="D218" s="415"/>
      <c r="E218" s="415"/>
      <c r="F218" s="401" t="s">
        <v>55</v>
      </c>
      <c r="G218" s="115" t="s">
        <v>256</v>
      </c>
      <c r="H218" s="416"/>
      <c r="I218" s="415"/>
      <c r="J218" s="405" t="s">
        <v>55</v>
      </c>
    </row>
    <row r="219" spans="2:10">
      <c r="B219" s="428"/>
      <c r="C219" s="413"/>
      <c r="D219" s="415"/>
      <c r="E219" s="415"/>
      <c r="F219" s="411"/>
      <c r="G219" s="115" t="s">
        <v>258</v>
      </c>
      <c r="H219" s="416"/>
      <c r="I219" s="415"/>
      <c r="J219" s="410"/>
    </row>
    <row r="220" spans="2:10">
      <c r="B220" s="428"/>
      <c r="C220" s="413"/>
      <c r="D220" s="415"/>
      <c r="E220" s="415"/>
      <c r="F220" s="402"/>
      <c r="G220" s="115" t="s">
        <v>259</v>
      </c>
      <c r="H220" s="416"/>
      <c r="I220" s="415"/>
      <c r="J220" s="406"/>
    </row>
    <row r="221" spans="2:10">
      <c r="B221" s="428"/>
      <c r="C221" s="413"/>
      <c r="D221" s="415"/>
      <c r="E221" s="415"/>
      <c r="F221" s="401" t="s">
        <v>55</v>
      </c>
      <c r="G221" s="115" t="s">
        <v>261</v>
      </c>
      <c r="H221" s="416"/>
      <c r="I221" s="415"/>
      <c r="J221" s="405" t="s">
        <v>55</v>
      </c>
    </row>
    <row r="222" spans="2:10">
      <c r="B222" s="428"/>
      <c r="C222" s="413"/>
      <c r="D222" s="415"/>
      <c r="E222" s="415"/>
      <c r="F222" s="411"/>
      <c r="G222" s="115" t="s">
        <v>263</v>
      </c>
      <c r="H222" s="416"/>
      <c r="I222" s="415"/>
      <c r="J222" s="410"/>
    </row>
    <row r="223" spans="2:10">
      <c r="B223" s="428"/>
      <c r="C223" s="413"/>
      <c r="D223" s="415"/>
      <c r="E223" s="415"/>
      <c r="F223" s="402"/>
      <c r="G223" s="115" t="s">
        <v>264</v>
      </c>
      <c r="H223" s="416"/>
      <c r="I223" s="415"/>
      <c r="J223" s="406"/>
    </row>
    <row r="224" spans="2:10">
      <c r="B224" s="428"/>
      <c r="C224" s="414"/>
      <c r="D224" s="400"/>
      <c r="E224" s="400"/>
      <c r="F224" s="115" t="s">
        <v>55</v>
      </c>
      <c r="G224" s="115" t="s">
        <v>265</v>
      </c>
      <c r="H224" s="404"/>
      <c r="I224" s="400"/>
      <c r="J224" s="116" t="s">
        <v>55</v>
      </c>
    </row>
    <row r="225" spans="2:10">
      <c r="B225" s="428"/>
      <c r="C225" s="112">
        <f>C209+1</f>
        <v>30051</v>
      </c>
      <c r="D225" s="113" t="str">
        <f t="shared" ref="D225:D288" si="4">DEC2HEX(C225)</f>
        <v>7563</v>
      </c>
      <c r="E225" s="113" t="s">
        <v>134</v>
      </c>
      <c r="F225" s="140" t="s">
        <v>55</v>
      </c>
      <c r="G225" s="115" t="s">
        <v>55</v>
      </c>
      <c r="H225" s="124" t="s">
        <v>132</v>
      </c>
      <c r="I225" s="113" t="s">
        <v>132</v>
      </c>
      <c r="J225" s="116" t="s">
        <v>55</v>
      </c>
    </row>
    <row r="226" spans="2:10">
      <c r="B226" s="428"/>
      <c r="C226" s="112">
        <f>C225+1</f>
        <v>30052</v>
      </c>
      <c r="D226" s="113" t="str">
        <f t="shared" si="4"/>
        <v>7564</v>
      </c>
      <c r="E226" s="113" t="s">
        <v>134</v>
      </c>
      <c r="F226" s="140" t="s">
        <v>55</v>
      </c>
      <c r="G226" s="115" t="s">
        <v>55</v>
      </c>
      <c r="H226" s="124" t="s">
        <v>132</v>
      </c>
      <c r="I226" s="113" t="s">
        <v>132</v>
      </c>
      <c r="J226" s="116" t="s">
        <v>55</v>
      </c>
    </row>
    <row r="227" spans="2:10">
      <c r="B227" s="428"/>
      <c r="C227" s="112">
        <f>C226+1</f>
        <v>30053</v>
      </c>
      <c r="D227" s="113" t="str">
        <f t="shared" si="4"/>
        <v>7565</v>
      </c>
      <c r="E227" s="113" t="s">
        <v>134</v>
      </c>
      <c r="F227" s="140" t="s">
        <v>55</v>
      </c>
      <c r="G227" s="115" t="s">
        <v>55</v>
      </c>
      <c r="H227" s="124" t="s">
        <v>132</v>
      </c>
      <c r="I227" s="113" t="s">
        <v>132</v>
      </c>
      <c r="J227" s="116" t="s">
        <v>55</v>
      </c>
    </row>
    <row r="228" spans="2:10">
      <c r="B228" s="428"/>
      <c r="C228" s="112">
        <f t="shared" ref="C228:C238" si="5">C227+1</f>
        <v>30054</v>
      </c>
      <c r="D228" s="113" t="str">
        <f t="shared" si="4"/>
        <v>7566</v>
      </c>
      <c r="E228" s="113" t="s">
        <v>134</v>
      </c>
      <c r="F228" s="140" t="s">
        <v>55</v>
      </c>
      <c r="G228" s="115" t="s">
        <v>55</v>
      </c>
      <c r="H228" s="124" t="s">
        <v>132</v>
      </c>
      <c r="I228" s="113" t="s">
        <v>132</v>
      </c>
      <c r="J228" s="116" t="s">
        <v>55</v>
      </c>
    </row>
    <row r="229" spans="2:10" ht="25.5">
      <c r="B229" s="428"/>
      <c r="C229" s="112">
        <f>C228+1</f>
        <v>30055</v>
      </c>
      <c r="D229" s="113" t="str">
        <f t="shared" si="4"/>
        <v>7567</v>
      </c>
      <c r="E229" s="113" t="s">
        <v>139</v>
      </c>
      <c r="F229" s="113" t="s">
        <v>275</v>
      </c>
      <c r="G229" s="145" t="s">
        <v>276</v>
      </c>
      <c r="H229" s="146" t="s">
        <v>277</v>
      </c>
      <c r="I229" s="147">
        <v>0.01</v>
      </c>
      <c r="J229" s="148" t="s">
        <v>278</v>
      </c>
    </row>
    <row r="230" spans="2:10" ht="25.5">
      <c r="B230" s="428"/>
      <c r="C230" s="112">
        <f t="shared" si="5"/>
        <v>30056</v>
      </c>
      <c r="D230" s="113" t="str">
        <f t="shared" si="4"/>
        <v>7568</v>
      </c>
      <c r="E230" s="113" t="s">
        <v>139</v>
      </c>
      <c r="F230" s="113" t="s">
        <v>279</v>
      </c>
      <c r="G230" s="88" t="s">
        <v>280</v>
      </c>
      <c r="H230" s="124" t="s">
        <v>277</v>
      </c>
      <c r="I230" s="113">
        <v>0.01</v>
      </c>
      <c r="J230" s="116" t="s">
        <v>281</v>
      </c>
    </row>
    <row r="231" spans="2:10" ht="25.5">
      <c r="B231" s="428"/>
      <c r="C231" s="112">
        <f t="shared" si="5"/>
        <v>30057</v>
      </c>
      <c r="D231" s="113" t="str">
        <f t="shared" si="4"/>
        <v>7569</v>
      </c>
      <c r="E231" s="399" t="s">
        <v>129</v>
      </c>
      <c r="F231" s="399" t="s">
        <v>282</v>
      </c>
      <c r="G231" s="401" t="s">
        <v>283</v>
      </c>
      <c r="H231" s="403" t="s">
        <v>284</v>
      </c>
      <c r="I231" s="399">
        <v>1E-4</v>
      </c>
      <c r="J231" s="149" t="s">
        <v>285</v>
      </c>
    </row>
    <row r="232" spans="2:10">
      <c r="B232" s="428"/>
      <c r="C232" s="112">
        <f t="shared" si="5"/>
        <v>30058</v>
      </c>
      <c r="D232" s="113" t="str">
        <f t="shared" si="4"/>
        <v>756A</v>
      </c>
      <c r="E232" s="400"/>
      <c r="F232" s="400"/>
      <c r="G232" s="402"/>
      <c r="H232" s="404"/>
      <c r="I232" s="400"/>
      <c r="J232" s="150" t="s">
        <v>286</v>
      </c>
    </row>
    <row r="233" spans="2:10">
      <c r="B233" s="428"/>
      <c r="C233" s="112">
        <f t="shared" si="5"/>
        <v>30059</v>
      </c>
      <c r="D233" s="113" t="str">
        <f t="shared" si="4"/>
        <v>756B</v>
      </c>
      <c r="E233" s="399" t="s">
        <v>129</v>
      </c>
      <c r="F233" s="399" t="s">
        <v>287</v>
      </c>
      <c r="G233" s="401" t="s">
        <v>288</v>
      </c>
      <c r="H233" s="403" t="s">
        <v>284</v>
      </c>
      <c r="I233" s="399">
        <v>1E-4</v>
      </c>
      <c r="J233" s="149" t="s">
        <v>289</v>
      </c>
    </row>
    <row r="234" spans="2:10">
      <c r="B234" s="428"/>
      <c r="C234" s="112">
        <f t="shared" si="5"/>
        <v>30060</v>
      </c>
      <c r="D234" s="113" t="str">
        <f t="shared" si="4"/>
        <v>756C</v>
      </c>
      <c r="E234" s="400"/>
      <c r="F234" s="400"/>
      <c r="G234" s="402"/>
      <c r="H234" s="404"/>
      <c r="I234" s="400"/>
      <c r="J234" s="151" t="s">
        <v>290</v>
      </c>
    </row>
    <row r="235" spans="2:10">
      <c r="B235" s="428"/>
      <c r="C235" s="112">
        <f t="shared" si="5"/>
        <v>30061</v>
      </c>
      <c r="D235" s="113" t="str">
        <f t="shared" si="4"/>
        <v>756D</v>
      </c>
      <c r="E235" s="397" t="s">
        <v>291</v>
      </c>
      <c r="F235" s="399" t="s">
        <v>292</v>
      </c>
      <c r="G235" s="401" t="s">
        <v>293</v>
      </c>
      <c r="H235" s="403" t="s">
        <v>294</v>
      </c>
      <c r="I235" s="399">
        <v>1E-3</v>
      </c>
      <c r="J235" s="152" t="s">
        <v>295</v>
      </c>
    </row>
    <row r="236" spans="2:10">
      <c r="B236" s="428"/>
      <c r="C236" s="112">
        <f t="shared" si="5"/>
        <v>30062</v>
      </c>
      <c r="D236" s="113" t="str">
        <f t="shared" si="4"/>
        <v>756E</v>
      </c>
      <c r="E236" s="398"/>
      <c r="F236" s="400"/>
      <c r="G236" s="402"/>
      <c r="H236" s="404"/>
      <c r="I236" s="400"/>
      <c r="J236" s="151" t="s">
        <v>296</v>
      </c>
    </row>
    <row r="237" spans="2:10" ht="25.5">
      <c r="B237" s="428"/>
      <c r="C237" s="112">
        <f t="shared" si="5"/>
        <v>30063</v>
      </c>
      <c r="D237" s="113" t="str">
        <f t="shared" si="4"/>
        <v>756F</v>
      </c>
      <c r="E237" s="399" t="s">
        <v>129</v>
      </c>
      <c r="F237" s="399" t="s">
        <v>297</v>
      </c>
      <c r="G237" s="401" t="s">
        <v>298</v>
      </c>
      <c r="H237" s="403" t="s">
        <v>299</v>
      </c>
      <c r="I237" s="399">
        <v>1E-3</v>
      </c>
      <c r="J237" s="149" t="s">
        <v>300</v>
      </c>
    </row>
    <row r="238" spans="2:10" ht="25.5">
      <c r="B238" s="428"/>
      <c r="C238" s="112">
        <f t="shared" si="5"/>
        <v>30064</v>
      </c>
      <c r="D238" s="113" t="str">
        <f t="shared" si="4"/>
        <v>7570</v>
      </c>
      <c r="E238" s="400"/>
      <c r="F238" s="400"/>
      <c r="G238" s="402"/>
      <c r="H238" s="404"/>
      <c r="I238" s="400"/>
      <c r="J238" s="153" t="s">
        <v>301</v>
      </c>
    </row>
    <row r="239" spans="2:10" ht="25.5">
      <c r="B239" s="428"/>
      <c r="C239" s="112">
        <f>C238+1</f>
        <v>30065</v>
      </c>
      <c r="D239" s="113" t="str">
        <f t="shared" si="4"/>
        <v>7571</v>
      </c>
      <c r="E239" s="399" t="s">
        <v>129</v>
      </c>
      <c r="F239" s="399" t="s">
        <v>302</v>
      </c>
      <c r="G239" s="401" t="s">
        <v>303</v>
      </c>
      <c r="H239" s="403" t="s">
        <v>299</v>
      </c>
      <c r="I239" s="399">
        <v>1E-3</v>
      </c>
      <c r="J239" s="149" t="s">
        <v>304</v>
      </c>
    </row>
    <row r="240" spans="2:10" ht="25.5">
      <c r="B240" s="428"/>
      <c r="C240" s="112">
        <f>C239+1</f>
        <v>30066</v>
      </c>
      <c r="D240" s="113" t="str">
        <f t="shared" si="4"/>
        <v>7572</v>
      </c>
      <c r="E240" s="400"/>
      <c r="F240" s="400"/>
      <c r="G240" s="402"/>
      <c r="H240" s="404"/>
      <c r="I240" s="400"/>
      <c r="J240" s="153" t="s">
        <v>305</v>
      </c>
    </row>
    <row r="241" spans="2:10">
      <c r="B241" s="428"/>
      <c r="C241" s="112">
        <f>C240+1</f>
        <v>30067</v>
      </c>
      <c r="D241" s="113" t="str">
        <f t="shared" si="4"/>
        <v>7573</v>
      </c>
      <c r="E241" s="113" t="s">
        <v>139</v>
      </c>
      <c r="F241" s="117" t="s">
        <v>55</v>
      </c>
      <c r="G241" s="117" t="s">
        <v>55</v>
      </c>
      <c r="H241" s="124" t="s">
        <v>132</v>
      </c>
      <c r="I241" s="113" t="s">
        <v>132</v>
      </c>
      <c r="J241" s="116" t="s">
        <v>55</v>
      </c>
    </row>
    <row r="242" spans="2:10">
      <c r="B242" s="428"/>
      <c r="C242" s="112">
        <f>C241+1</f>
        <v>30068</v>
      </c>
      <c r="D242" s="113" t="str">
        <f t="shared" si="4"/>
        <v>7574</v>
      </c>
      <c r="E242" s="113" t="s">
        <v>139</v>
      </c>
      <c r="F242" s="117" t="s">
        <v>55</v>
      </c>
      <c r="G242" s="117" t="s">
        <v>55</v>
      </c>
      <c r="H242" s="124" t="s">
        <v>132</v>
      </c>
      <c r="I242" s="113" t="s">
        <v>132</v>
      </c>
      <c r="J242" s="116" t="s">
        <v>55</v>
      </c>
    </row>
    <row r="243" spans="2:10" ht="13.5" thickBot="1">
      <c r="B243" s="428"/>
      <c r="C243" s="125">
        <f>C242+1</f>
        <v>30069</v>
      </c>
      <c r="D243" s="126" t="str">
        <f t="shared" si="4"/>
        <v>7575</v>
      </c>
      <c r="E243" s="126" t="s">
        <v>139</v>
      </c>
      <c r="F243" s="127" t="s">
        <v>55</v>
      </c>
      <c r="G243" s="127" t="s">
        <v>55</v>
      </c>
      <c r="H243" s="128" t="s">
        <v>132</v>
      </c>
      <c r="I243" s="126" t="s">
        <v>132</v>
      </c>
      <c r="J243" s="154" t="s">
        <v>55</v>
      </c>
    </row>
    <row r="244" spans="2:10" ht="23.25" customHeight="1">
      <c r="B244" s="407" t="s">
        <v>89</v>
      </c>
      <c r="C244" s="155" t="s">
        <v>306</v>
      </c>
      <c r="D244" s="156"/>
      <c r="E244" s="156"/>
      <c r="F244" s="156"/>
      <c r="G244" s="156"/>
      <c r="H244" s="156"/>
      <c r="I244" s="156"/>
      <c r="J244" s="156"/>
    </row>
    <row r="245" spans="2:10">
      <c r="B245" s="408"/>
      <c r="C245" s="112">
        <f>C243+1</f>
        <v>30070</v>
      </c>
      <c r="D245" s="113" t="str">
        <f t="shared" si="4"/>
        <v>7576</v>
      </c>
      <c r="E245" s="113" t="s">
        <v>139</v>
      </c>
      <c r="F245" s="117" t="s">
        <v>62</v>
      </c>
      <c r="G245" s="117"/>
      <c r="H245" s="124" t="s">
        <v>132</v>
      </c>
      <c r="I245" s="113" t="s">
        <v>132</v>
      </c>
      <c r="J245" s="116"/>
    </row>
    <row r="246" spans="2:10">
      <c r="B246" s="408"/>
      <c r="C246" s="112">
        <f t="shared" ref="C246:C274" si="6">C245+1</f>
        <v>30071</v>
      </c>
      <c r="D246" s="113" t="str">
        <f t="shared" si="4"/>
        <v>7577</v>
      </c>
      <c r="E246" s="113" t="s">
        <v>139</v>
      </c>
      <c r="F246" s="117" t="s">
        <v>62</v>
      </c>
      <c r="G246" s="117"/>
      <c r="H246" s="124" t="s">
        <v>132</v>
      </c>
      <c r="I246" s="113" t="s">
        <v>132</v>
      </c>
      <c r="J246" s="116"/>
    </row>
    <row r="247" spans="2:10">
      <c r="B247" s="408"/>
      <c r="C247" s="112">
        <f t="shared" si="6"/>
        <v>30072</v>
      </c>
      <c r="D247" s="113" t="str">
        <f t="shared" si="4"/>
        <v>7578</v>
      </c>
      <c r="E247" s="113" t="s">
        <v>139</v>
      </c>
      <c r="F247" s="117" t="s">
        <v>62</v>
      </c>
      <c r="G247" s="117"/>
      <c r="H247" s="124" t="s">
        <v>132</v>
      </c>
      <c r="I247" s="113" t="s">
        <v>132</v>
      </c>
      <c r="J247" s="116"/>
    </row>
    <row r="248" spans="2:10">
      <c r="B248" s="408"/>
      <c r="C248" s="112">
        <f t="shared" si="6"/>
        <v>30073</v>
      </c>
      <c r="D248" s="113" t="str">
        <f t="shared" si="4"/>
        <v>7579</v>
      </c>
      <c r="E248" s="113" t="s">
        <v>139</v>
      </c>
      <c r="F248" s="117" t="s">
        <v>62</v>
      </c>
      <c r="G248" s="117"/>
      <c r="H248" s="124" t="s">
        <v>132</v>
      </c>
      <c r="I248" s="113" t="s">
        <v>132</v>
      </c>
      <c r="J248" s="116"/>
    </row>
    <row r="249" spans="2:10">
      <c r="B249" s="408"/>
      <c r="C249" s="112">
        <f t="shared" si="6"/>
        <v>30074</v>
      </c>
      <c r="D249" s="113" t="str">
        <f t="shared" si="4"/>
        <v>757A</v>
      </c>
      <c r="E249" s="113" t="s">
        <v>139</v>
      </c>
      <c r="F249" s="117" t="s">
        <v>62</v>
      </c>
      <c r="G249" s="117"/>
      <c r="H249" s="124" t="s">
        <v>132</v>
      </c>
      <c r="I249" s="113" t="s">
        <v>132</v>
      </c>
      <c r="J249" s="116"/>
    </row>
    <row r="250" spans="2:10">
      <c r="B250" s="408"/>
      <c r="C250" s="112">
        <f t="shared" si="6"/>
        <v>30075</v>
      </c>
      <c r="D250" s="113" t="str">
        <f t="shared" si="4"/>
        <v>757B</v>
      </c>
      <c r="E250" s="113" t="s">
        <v>139</v>
      </c>
      <c r="F250" s="117" t="s">
        <v>62</v>
      </c>
      <c r="G250" s="117"/>
      <c r="H250" s="124" t="s">
        <v>132</v>
      </c>
      <c r="I250" s="113" t="s">
        <v>132</v>
      </c>
      <c r="J250" s="116"/>
    </row>
    <row r="251" spans="2:10">
      <c r="B251" s="408"/>
      <c r="C251" s="112">
        <f t="shared" si="6"/>
        <v>30076</v>
      </c>
      <c r="D251" s="113" t="str">
        <f t="shared" si="4"/>
        <v>757C</v>
      </c>
      <c r="E251" s="113" t="s">
        <v>139</v>
      </c>
      <c r="F251" s="117" t="s">
        <v>62</v>
      </c>
      <c r="G251" s="117"/>
      <c r="H251" s="124" t="s">
        <v>132</v>
      </c>
      <c r="I251" s="113" t="s">
        <v>132</v>
      </c>
      <c r="J251" s="116"/>
    </row>
    <row r="252" spans="2:10">
      <c r="B252" s="408"/>
      <c r="C252" s="112">
        <f t="shared" si="6"/>
        <v>30077</v>
      </c>
      <c r="D252" s="113" t="str">
        <f t="shared" si="4"/>
        <v>757D</v>
      </c>
      <c r="E252" s="113" t="s">
        <v>139</v>
      </c>
      <c r="F252" s="117" t="s">
        <v>62</v>
      </c>
      <c r="G252" s="117"/>
      <c r="H252" s="124" t="s">
        <v>132</v>
      </c>
      <c r="I252" s="113" t="s">
        <v>132</v>
      </c>
      <c r="J252" s="116"/>
    </row>
    <row r="253" spans="2:10">
      <c r="B253" s="408"/>
      <c r="C253" s="112">
        <f t="shared" si="6"/>
        <v>30078</v>
      </c>
      <c r="D253" s="113" t="str">
        <f t="shared" si="4"/>
        <v>757E</v>
      </c>
      <c r="E253" s="113" t="s">
        <v>139</v>
      </c>
      <c r="F253" s="117" t="s">
        <v>62</v>
      </c>
      <c r="G253" s="117"/>
      <c r="H253" s="124" t="s">
        <v>132</v>
      </c>
      <c r="I253" s="113" t="s">
        <v>132</v>
      </c>
      <c r="J253" s="116"/>
    </row>
    <row r="254" spans="2:10">
      <c r="B254" s="408"/>
      <c r="C254" s="112">
        <f t="shared" si="6"/>
        <v>30079</v>
      </c>
      <c r="D254" s="113" t="str">
        <f t="shared" si="4"/>
        <v>757F</v>
      </c>
      <c r="E254" s="113" t="s">
        <v>139</v>
      </c>
      <c r="F254" s="117" t="s">
        <v>62</v>
      </c>
      <c r="G254" s="117"/>
      <c r="H254" s="124" t="s">
        <v>132</v>
      </c>
      <c r="I254" s="113" t="s">
        <v>132</v>
      </c>
      <c r="J254" s="116"/>
    </row>
    <row r="255" spans="2:10">
      <c r="B255" s="408"/>
      <c r="C255" s="112">
        <f t="shared" si="6"/>
        <v>30080</v>
      </c>
      <c r="D255" s="113" t="str">
        <f t="shared" si="4"/>
        <v>7580</v>
      </c>
      <c r="E255" s="113" t="s">
        <v>139</v>
      </c>
      <c r="F255" s="117" t="s">
        <v>62</v>
      </c>
      <c r="G255" s="117"/>
      <c r="H255" s="124" t="s">
        <v>132</v>
      </c>
      <c r="I255" s="113" t="s">
        <v>132</v>
      </c>
      <c r="J255" s="116"/>
    </row>
    <row r="256" spans="2:10">
      <c r="B256" s="408"/>
      <c r="C256" s="112">
        <f t="shared" si="6"/>
        <v>30081</v>
      </c>
      <c r="D256" s="113" t="str">
        <f t="shared" si="4"/>
        <v>7581</v>
      </c>
      <c r="E256" s="113" t="s">
        <v>139</v>
      </c>
      <c r="F256" s="117" t="s">
        <v>62</v>
      </c>
      <c r="G256" s="117"/>
      <c r="H256" s="124" t="s">
        <v>132</v>
      </c>
      <c r="I256" s="113" t="s">
        <v>132</v>
      </c>
      <c r="J256" s="116"/>
    </row>
    <row r="257" spans="2:10">
      <c r="B257" s="408"/>
      <c r="C257" s="112">
        <f t="shared" si="6"/>
        <v>30082</v>
      </c>
      <c r="D257" s="113" t="str">
        <f t="shared" si="4"/>
        <v>7582</v>
      </c>
      <c r="E257" s="113" t="s">
        <v>139</v>
      </c>
      <c r="F257" s="117" t="s">
        <v>62</v>
      </c>
      <c r="G257" s="117"/>
      <c r="H257" s="124" t="s">
        <v>132</v>
      </c>
      <c r="I257" s="113" t="s">
        <v>132</v>
      </c>
      <c r="J257" s="116"/>
    </row>
    <row r="258" spans="2:10">
      <c r="B258" s="408"/>
      <c r="C258" s="112">
        <f t="shared" si="6"/>
        <v>30083</v>
      </c>
      <c r="D258" s="113" t="str">
        <f t="shared" si="4"/>
        <v>7583</v>
      </c>
      <c r="E258" s="113" t="s">
        <v>139</v>
      </c>
      <c r="F258" s="117" t="s">
        <v>62</v>
      </c>
      <c r="G258" s="117"/>
      <c r="H258" s="124" t="s">
        <v>132</v>
      </c>
      <c r="I258" s="113" t="s">
        <v>132</v>
      </c>
      <c r="J258" s="116"/>
    </row>
    <row r="259" spans="2:10">
      <c r="B259" s="408"/>
      <c r="C259" s="112">
        <f t="shared" si="6"/>
        <v>30084</v>
      </c>
      <c r="D259" s="113" t="str">
        <f t="shared" si="4"/>
        <v>7584</v>
      </c>
      <c r="E259" s="113" t="s">
        <v>139</v>
      </c>
      <c r="F259" s="117" t="s">
        <v>62</v>
      </c>
      <c r="G259" s="117"/>
      <c r="H259" s="124" t="s">
        <v>132</v>
      </c>
      <c r="I259" s="113" t="s">
        <v>132</v>
      </c>
      <c r="J259" s="116"/>
    </row>
    <row r="260" spans="2:10">
      <c r="B260" s="408"/>
      <c r="C260" s="112">
        <f t="shared" si="6"/>
        <v>30085</v>
      </c>
      <c r="D260" s="113" t="str">
        <f t="shared" si="4"/>
        <v>7585</v>
      </c>
      <c r="E260" s="113" t="s">
        <v>139</v>
      </c>
      <c r="F260" s="117" t="s">
        <v>62</v>
      </c>
      <c r="G260" s="117"/>
      <c r="H260" s="124" t="s">
        <v>132</v>
      </c>
      <c r="I260" s="113" t="s">
        <v>132</v>
      </c>
      <c r="J260" s="116"/>
    </row>
    <row r="261" spans="2:10">
      <c r="B261" s="408"/>
      <c r="C261" s="112">
        <f t="shared" si="6"/>
        <v>30086</v>
      </c>
      <c r="D261" s="113" t="str">
        <f t="shared" si="4"/>
        <v>7586</v>
      </c>
      <c r="E261" s="113" t="s">
        <v>139</v>
      </c>
      <c r="F261" s="117" t="s">
        <v>62</v>
      </c>
      <c r="G261" s="117"/>
      <c r="H261" s="124" t="s">
        <v>132</v>
      </c>
      <c r="I261" s="113" t="s">
        <v>132</v>
      </c>
      <c r="J261" s="116"/>
    </row>
    <row r="262" spans="2:10">
      <c r="B262" s="408"/>
      <c r="C262" s="112">
        <f t="shared" si="6"/>
        <v>30087</v>
      </c>
      <c r="D262" s="113" t="str">
        <f t="shared" si="4"/>
        <v>7587</v>
      </c>
      <c r="E262" s="113" t="s">
        <v>139</v>
      </c>
      <c r="F262" s="117" t="s">
        <v>62</v>
      </c>
      <c r="G262" s="117"/>
      <c r="H262" s="124" t="s">
        <v>132</v>
      </c>
      <c r="I262" s="113" t="s">
        <v>132</v>
      </c>
      <c r="J262" s="116"/>
    </row>
    <row r="263" spans="2:10">
      <c r="B263" s="408"/>
      <c r="C263" s="112">
        <f t="shared" si="6"/>
        <v>30088</v>
      </c>
      <c r="D263" s="113" t="str">
        <f t="shared" si="4"/>
        <v>7588</v>
      </c>
      <c r="E263" s="113" t="s">
        <v>139</v>
      </c>
      <c r="F263" s="117" t="s">
        <v>62</v>
      </c>
      <c r="G263" s="117"/>
      <c r="H263" s="124" t="s">
        <v>132</v>
      </c>
      <c r="I263" s="113" t="s">
        <v>132</v>
      </c>
      <c r="J263" s="116"/>
    </row>
    <row r="264" spans="2:10">
      <c r="B264" s="408"/>
      <c r="C264" s="112">
        <f t="shared" si="6"/>
        <v>30089</v>
      </c>
      <c r="D264" s="113" t="str">
        <f t="shared" si="4"/>
        <v>7589</v>
      </c>
      <c r="E264" s="113" t="s">
        <v>139</v>
      </c>
      <c r="F264" s="117" t="s">
        <v>62</v>
      </c>
      <c r="G264" s="117"/>
      <c r="H264" s="124" t="s">
        <v>132</v>
      </c>
      <c r="I264" s="113" t="s">
        <v>132</v>
      </c>
      <c r="J264" s="116"/>
    </row>
    <row r="265" spans="2:10">
      <c r="B265" s="408"/>
      <c r="C265" s="112">
        <f t="shared" si="6"/>
        <v>30090</v>
      </c>
      <c r="D265" s="113" t="str">
        <f t="shared" si="4"/>
        <v>758A</v>
      </c>
      <c r="E265" s="113" t="s">
        <v>139</v>
      </c>
      <c r="F265" s="117" t="s">
        <v>62</v>
      </c>
      <c r="G265" s="117"/>
      <c r="H265" s="124" t="s">
        <v>132</v>
      </c>
      <c r="I265" s="113" t="s">
        <v>132</v>
      </c>
      <c r="J265" s="116"/>
    </row>
    <row r="266" spans="2:10">
      <c r="B266" s="408"/>
      <c r="C266" s="112">
        <f t="shared" si="6"/>
        <v>30091</v>
      </c>
      <c r="D266" s="113" t="str">
        <f t="shared" si="4"/>
        <v>758B</v>
      </c>
      <c r="E266" s="113" t="s">
        <v>139</v>
      </c>
      <c r="F266" s="117" t="s">
        <v>62</v>
      </c>
      <c r="G266" s="117"/>
      <c r="H266" s="124" t="s">
        <v>132</v>
      </c>
      <c r="I266" s="113" t="s">
        <v>132</v>
      </c>
      <c r="J266" s="116"/>
    </row>
    <row r="267" spans="2:10">
      <c r="B267" s="408"/>
      <c r="C267" s="112">
        <f t="shared" si="6"/>
        <v>30092</v>
      </c>
      <c r="D267" s="113" t="str">
        <f t="shared" si="4"/>
        <v>758C</v>
      </c>
      <c r="E267" s="113" t="s">
        <v>139</v>
      </c>
      <c r="F267" s="117" t="s">
        <v>62</v>
      </c>
      <c r="G267" s="117"/>
      <c r="H267" s="124" t="s">
        <v>132</v>
      </c>
      <c r="I267" s="113" t="s">
        <v>132</v>
      </c>
      <c r="J267" s="116"/>
    </row>
    <row r="268" spans="2:10">
      <c r="B268" s="408"/>
      <c r="C268" s="112">
        <f t="shared" si="6"/>
        <v>30093</v>
      </c>
      <c r="D268" s="113" t="str">
        <f t="shared" si="4"/>
        <v>758D</v>
      </c>
      <c r="E268" s="113" t="s">
        <v>139</v>
      </c>
      <c r="F268" s="117" t="s">
        <v>62</v>
      </c>
      <c r="G268" s="117"/>
      <c r="H268" s="124" t="s">
        <v>132</v>
      </c>
      <c r="I268" s="113" t="s">
        <v>132</v>
      </c>
      <c r="J268" s="116"/>
    </row>
    <row r="269" spans="2:10">
      <c r="B269" s="408"/>
      <c r="C269" s="112">
        <f t="shared" si="6"/>
        <v>30094</v>
      </c>
      <c r="D269" s="113" t="str">
        <f t="shared" si="4"/>
        <v>758E</v>
      </c>
      <c r="E269" s="113" t="s">
        <v>139</v>
      </c>
      <c r="F269" s="117" t="s">
        <v>62</v>
      </c>
      <c r="G269" s="117"/>
      <c r="H269" s="124" t="s">
        <v>132</v>
      </c>
      <c r="I269" s="113" t="s">
        <v>132</v>
      </c>
      <c r="J269" s="116"/>
    </row>
    <row r="270" spans="2:10">
      <c r="B270" s="408"/>
      <c r="C270" s="112">
        <f t="shared" si="6"/>
        <v>30095</v>
      </c>
      <c r="D270" s="113" t="str">
        <f t="shared" si="4"/>
        <v>758F</v>
      </c>
      <c r="E270" s="113" t="s">
        <v>139</v>
      </c>
      <c r="F270" s="117" t="s">
        <v>62</v>
      </c>
      <c r="G270" s="117"/>
      <c r="H270" s="124" t="s">
        <v>132</v>
      </c>
      <c r="I270" s="113" t="s">
        <v>132</v>
      </c>
      <c r="J270" s="116"/>
    </row>
    <row r="271" spans="2:10">
      <c r="B271" s="408"/>
      <c r="C271" s="112">
        <f t="shared" si="6"/>
        <v>30096</v>
      </c>
      <c r="D271" s="113" t="str">
        <f t="shared" si="4"/>
        <v>7590</v>
      </c>
      <c r="E271" s="113" t="s">
        <v>139</v>
      </c>
      <c r="F271" s="117" t="s">
        <v>62</v>
      </c>
      <c r="G271" s="117"/>
      <c r="H271" s="124" t="s">
        <v>132</v>
      </c>
      <c r="I271" s="113" t="s">
        <v>132</v>
      </c>
      <c r="J271" s="116"/>
    </row>
    <row r="272" spans="2:10">
      <c r="B272" s="408"/>
      <c r="C272" s="112">
        <f t="shared" si="6"/>
        <v>30097</v>
      </c>
      <c r="D272" s="113" t="str">
        <f t="shared" si="4"/>
        <v>7591</v>
      </c>
      <c r="E272" s="113" t="s">
        <v>139</v>
      </c>
      <c r="F272" s="117" t="s">
        <v>62</v>
      </c>
      <c r="G272" s="117"/>
      <c r="H272" s="124" t="s">
        <v>132</v>
      </c>
      <c r="I272" s="113" t="s">
        <v>132</v>
      </c>
      <c r="J272" s="116"/>
    </row>
    <row r="273" spans="2:10">
      <c r="B273" s="408"/>
      <c r="C273" s="112">
        <f t="shared" si="6"/>
        <v>30098</v>
      </c>
      <c r="D273" s="113" t="str">
        <f t="shared" si="4"/>
        <v>7592</v>
      </c>
      <c r="E273" s="113" t="s">
        <v>139</v>
      </c>
      <c r="F273" s="117" t="s">
        <v>62</v>
      </c>
      <c r="G273" s="117"/>
      <c r="H273" s="124" t="s">
        <v>132</v>
      </c>
      <c r="I273" s="113" t="s">
        <v>132</v>
      </c>
      <c r="J273" s="116"/>
    </row>
    <row r="274" spans="2:10">
      <c r="B274" s="408"/>
      <c r="C274" s="112">
        <f t="shared" si="6"/>
        <v>30099</v>
      </c>
      <c r="D274" s="113" t="str">
        <f t="shared" si="4"/>
        <v>7593</v>
      </c>
      <c r="E274" s="113" t="s">
        <v>139</v>
      </c>
      <c r="F274" s="117" t="s">
        <v>62</v>
      </c>
      <c r="G274" s="117"/>
      <c r="H274" s="124" t="s">
        <v>132</v>
      </c>
      <c r="I274" s="113" t="s">
        <v>132</v>
      </c>
      <c r="J274" s="116"/>
    </row>
    <row r="275" spans="2:10" ht="25.5">
      <c r="B275" s="408"/>
      <c r="C275" s="112">
        <f>30100</f>
        <v>30100</v>
      </c>
      <c r="D275" s="113" t="str">
        <f t="shared" si="4"/>
        <v>7594</v>
      </c>
      <c r="E275" s="113" t="s">
        <v>134</v>
      </c>
      <c r="F275" s="113" t="s">
        <v>307</v>
      </c>
      <c r="G275" s="115" t="s">
        <v>308</v>
      </c>
      <c r="H275" s="124" t="s">
        <v>277</v>
      </c>
      <c r="I275" s="113">
        <v>0.01</v>
      </c>
      <c r="J275" s="116" t="s">
        <v>309</v>
      </c>
    </row>
    <row r="276" spans="2:10" ht="25.5">
      <c r="B276" s="408"/>
      <c r="C276" s="112">
        <f t="shared" ref="C276:C339" si="7">C275+1</f>
        <v>30101</v>
      </c>
      <c r="D276" s="113" t="str">
        <f t="shared" si="4"/>
        <v>7595</v>
      </c>
      <c r="E276" s="113" t="s">
        <v>134</v>
      </c>
      <c r="F276" s="113" t="s">
        <v>310</v>
      </c>
      <c r="G276" s="115" t="s">
        <v>311</v>
      </c>
      <c r="H276" s="124" t="s">
        <v>277</v>
      </c>
      <c r="I276" s="113">
        <v>0.01</v>
      </c>
      <c r="J276" s="116" t="s">
        <v>312</v>
      </c>
    </row>
    <row r="277" spans="2:10" ht="25.5">
      <c r="B277" s="408"/>
      <c r="C277" s="112">
        <f t="shared" si="7"/>
        <v>30102</v>
      </c>
      <c r="D277" s="113" t="str">
        <f t="shared" si="4"/>
        <v>7596</v>
      </c>
      <c r="E277" s="113" t="s">
        <v>134</v>
      </c>
      <c r="F277" s="113" t="s">
        <v>313</v>
      </c>
      <c r="G277" s="115" t="s">
        <v>314</v>
      </c>
      <c r="H277" s="124" t="s">
        <v>277</v>
      </c>
      <c r="I277" s="113">
        <v>0.01</v>
      </c>
      <c r="J277" s="116" t="s">
        <v>315</v>
      </c>
    </row>
    <row r="278" spans="2:10">
      <c r="B278" s="408"/>
      <c r="C278" s="112">
        <f t="shared" si="7"/>
        <v>30103</v>
      </c>
      <c r="D278" s="113" t="str">
        <f t="shared" si="4"/>
        <v>7597</v>
      </c>
      <c r="E278" s="113" t="s">
        <v>134</v>
      </c>
      <c r="F278" s="113" t="s">
        <v>316</v>
      </c>
      <c r="G278" s="115" t="s">
        <v>317</v>
      </c>
      <c r="H278" s="124" t="s">
        <v>132</v>
      </c>
      <c r="I278" s="113" t="s">
        <v>132</v>
      </c>
      <c r="J278" s="116" t="s">
        <v>318</v>
      </c>
    </row>
    <row r="279" spans="2:10">
      <c r="B279" s="408"/>
      <c r="C279" s="112">
        <f t="shared" si="7"/>
        <v>30104</v>
      </c>
      <c r="D279" s="113" t="str">
        <f t="shared" si="4"/>
        <v>7598</v>
      </c>
      <c r="E279" s="113" t="s">
        <v>134</v>
      </c>
      <c r="F279" s="144" t="s">
        <v>55</v>
      </c>
      <c r="G279" s="115" t="s">
        <v>319</v>
      </c>
      <c r="H279" s="124" t="s">
        <v>132</v>
      </c>
      <c r="I279" s="113" t="s">
        <v>132</v>
      </c>
      <c r="J279" s="116" t="s">
        <v>319</v>
      </c>
    </row>
    <row r="280" spans="2:10">
      <c r="B280" s="408"/>
      <c r="C280" s="112">
        <f t="shared" si="7"/>
        <v>30105</v>
      </c>
      <c r="D280" s="131" t="str">
        <f t="shared" si="4"/>
        <v>7599</v>
      </c>
      <c r="E280" s="113" t="s">
        <v>134</v>
      </c>
      <c r="F280" s="80" t="s">
        <v>320</v>
      </c>
      <c r="G280" s="115" t="s">
        <v>321</v>
      </c>
      <c r="H280" s="124" t="s">
        <v>132</v>
      </c>
      <c r="I280" s="113" t="s">
        <v>132</v>
      </c>
      <c r="J280" s="116" t="s">
        <v>322</v>
      </c>
    </row>
    <row r="281" spans="2:10">
      <c r="B281" s="408"/>
      <c r="C281" s="112">
        <f t="shared" si="7"/>
        <v>30106</v>
      </c>
      <c r="D281" s="131" t="str">
        <f t="shared" si="4"/>
        <v>759A</v>
      </c>
      <c r="E281" s="113" t="s">
        <v>134</v>
      </c>
      <c r="F281" s="144" t="s">
        <v>319</v>
      </c>
      <c r="G281" s="115" t="s">
        <v>319</v>
      </c>
      <c r="H281" s="124" t="s">
        <v>132</v>
      </c>
      <c r="I281" s="113" t="s">
        <v>132</v>
      </c>
      <c r="J281" s="116" t="s">
        <v>319</v>
      </c>
    </row>
    <row r="282" spans="2:10">
      <c r="B282" s="408"/>
      <c r="C282" s="112">
        <f>C281+1</f>
        <v>30107</v>
      </c>
      <c r="D282" s="131" t="str">
        <f t="shared" si="4"/>
        <v>759B</v>
      </c>
      <c r="E282" s="113" t="s">
        <v>134</v>
      </c>
      <c r="F282" s="113" t="s">
        <v>323</v>
      </c>
      <c r="G282" s="115" t="s">
        <v>324</v>
      </c>
      <c r="H282" s="124" t="s">
        <v>137</v>
      </c>
      <c r="I282" s="113">
        <v>1</v>
      </c>
      <c r="J282" s="157" t="s">
        <v>325</v>
      </c>
    </row>
    <row r="283" spans="2:10">
      <c r="B283" s="408"/>
      <c r="C283" s="158">
        <f>C281+2</f>
        <v>30108</v>
      </c>
      <c r="D283" s="84" t="str">
        <f t="shared" si="4"/>
        <v>759C</v>
      </c>
      <c r="E283" s="80" t="s">
        <v>134</v>
      </c>
      <c r="F283" s="144" t="s">
        <v>55</v>
      </c>
      <c r="G283" s="115" t="s">
        <v>55</v>
      </c>
      <c r="H283" s="124" t="s">
        <v>132</v>
      </c>
      <c r="I283" s="113" t="s">
        <v>132</v>
      </c>
      <c r="J283" s="157" t="s">
        <v>55</v>
      </c>
    </row>
    <row r="284" spans="2:10" ht="25.5">
      <c r="B284" s="408"/>
      <c r="C284" s="158">
        <f t="shared" si="7"/>
        <v>30109</v>
      </c>
      <c r="D284" s="131" t="str">
        <f t="shared" si="4"/>
        <v>759D</v>
      </c>
      <c r="E284" s="113" t="s">
        <v>134</v>
      </c>
      <c r="F284" s="113" t="s">
        <v>326</v>
      </c>
      <c r="G284" s="115" t="s">
        <v>327</v>
      </c>
      <c r="H284" s="124" t="s">
        <v>277</v>
      </c>
      <c r="I284" s="113">
        <v>0.01</v>
      </c>
      <c r="J284" s="116" t="s">
        <v>328</v>
      </c>
    </row>
    <row r="285" spans="2:10" ht="25.5">
      <c r="B285" s="408"/>
      <c r="C285" s="158">
        <f t="shared" si="7"/>
        <v>30110</v>
      </c>
      <c r="D285" s="131" t="str">
        <f t="shared" si="4"/>
        <v>759E</v>
      </c>
      <c r="E285" s="113" t="s">
        <v>134</v>
      </c>
      <c r="F285" s="113" t="s">
        <v>329</v>
      </c>
      <c r="G285" s="115" t="s">
        <v>330</v>
      </c>
      <c r="H285" s="124" t="s">
        <v>277</v>
      </c>
      <c r="I285" s="113">
        <v>0.01</v>
      </c>
      <c r="J285" s="116" t="s">
        <v>312</v>
      </c>
    </row>
    <row r="286" spans="2:10" ht="25.5">
      <c r="B286" s="408"/>
      <c r="C286" s="158">
        <f t="shared" si="7"/>
        <v>30111</v>
      </c>
      <c r="D286" s="131" t="str">
        <f t="shared" si="4"/>
        <v>759F</v>
      </c>
      <c r="E286" s="113" t="s">
        <v>134</v>
      </c>
      <c r="F286" s="113" t="s">
        <v>331</v>
      </c>
      <c r="G286" s="115" t="s">
        <v>332</v>
      </c>
      <c r="H286" s="124" t="s">
        <v>277</v>
      </c>
      <c r="I286" s="113">
        <v>0.01</v>
      </c>
      <c r="J286" s="116" t="s">
        <v>315</v>
      </c>
    </row>
    <row r="287" spans="2:10">
      <c r="B287" s="408"/>
      <c r="C287" s="158">
        <f t="shared" si="7"/>
        <v>30112</v>
      </c>
      <c r="D287" s="131" t="str">
        <f t="shared" si="4"/>
        <v>75A0</v>
      </c>
      <c r="E287" s="113" t="s">
        <v>134</v>
      </c>
      <c r="F287" s="113" t="s">
        <v>333</v>
      </c>
      <c r="G287" s="115" t="s">
        <v>317</v>
      </c>
      <c r="H287" s="124" t="s">
        <v>132</v>
      </c>
      <c r="I287" s="113" t="s">
        <v>132</v>
      </c>
      <c r="J287" s="116" t="s">
        <v>334</v>
      </c>
    </row>
    <row r="288" spans="2:10">
      <c r="B288" s="408"/>
      <c r="C288" s="158">
        <f t="shared" si="7"/>
        <v>30113</v>
      </c>
      <c r="D288" s="131" t="str">
        <f t="shared" si="4"/>
        <v>75A1</v>
      </c>
      <c r="E288" s="113" t="s">
        <v>134</v>
      </c>
      <c r="F288" s="144" t="s">
        <v>319</v>
      </c>
      <c r="G288" s="115" t="s">
        <v>319</v>
      </c>
      <c r="H288" s="124" t="s">
        <v>132</v>
      </c>
      <c r="I288" s="113" t="s">
        <v>132</v>
      </c>
      <c r="J288" s="116" t="s">
        <v>319</v>
      </c>
    </row>
    <row r="289" spans="2:10">
      <c r="B289" s="408"/>
      <c r="C289" s="158">
        <f t="shared" si="7"/>
        <v>30114</v>
      </c>
      <c r="D289" s="131" t="str">
        <f t="shared" ref="D289:D344" si="8">DEC2HEX(C289)</f>
        <v>75A2</v>
      </c>
      <c r="E289" s="113" t="s">
        <v>134</v>
      </c>
      <c r="F289" s="80" t="s">
        <v>335</v>
      </c>
      <c r="G289" s="115" t="s">
        <v>317</v>
      </c>
      <c r="H289" s="124" t="s">
        <v>132</v>
      </c>
      <c r="I289" s="113" t="s">
        <v>132</v>
      </c>
      <c r="J289" s="116" t="s">
        <v>336</v>
      </c>
    </row>
    <row r="290" spans="2:10">
      <c r="B290" s="408"/>
      <c r="C290" s="158">
        <f t="shared" si="7"/>
        <v>30115</v>
      </c>
      <c r="D290" s="131" t="str">
        <f t="shared" si="8"/>
        <v>75A3</v>
      </c>
      <c r="E290" s="113" t="s">
        <v>134</v>
      </c>
      <c r="F290" s="144" t="s">
        <v>319</v>
      </c>
      <c r="G290" s="115" t="s">
        <v>319</v>
      </c>
      <c r="H290" s="124" t="s">
        <v>132</v>
      </c>
      <c r="I290" s="113" t="s">
        <v>132</v>
      </c>
      <c r="J290" s="116" t="s">
        <v>319</v>
      </c>
    </row>
    <row r="291" spans="2:10">
      <c r="B291" s="408"/>
      <c r="C291" s="158">
        <f t="shared" si="7"/>
        <v>30116</v>
      </c>
      <c r="D291" s="131" t="str">
        <f t="shared" si="8"/>
        <v>75A4</v>
      </c>
      <c r="E291" s="113" t="s">
        <v>134</v>
      </c>
      <c r="F291" s="115" t="s">
        <v>55</v>
      </c>
      <c r="G291" s="115" t="s">
        <v>55</v>
      </c>
      <c r="H291" s="124" t="s">
        <v>132</v>
      </c>
      <c r="I291" s="113" t="s">
        <v>132</v>
      </c>
      <c r="J291" s="157" t="s">
        <v>55</v>
      </c>
    </row>
    <row r="292" spans="2:10">
      <c r="B292" s="408"/>
      <c r="C292" s="158">
        <f t="shared" si="7"/>
        <v>30117</v>
      </c>
      <c r="D292" s="84" t="str">
        <f t="shared" si="8"/>
        <v>75A5</v>
      </c>
      <c r="E292" s="80" t="s">
        <v>134</v>
      </c>
      <c r="F292" s="144" t="s">
        <v>55</v>
      </c>
      <c r="G292" s="115" t="s">
        <v>55</v>
      </c>
      <c r="H292" s="124" t="s">
        <v>132</v>
      </c>
      <c r="I292" s="113" t="s">
        <v>132</v>
      </c>
      <c r="J292" s="157" t="s">
        <v>55</v>
      </c>
    </row>
    <row r="293" spans="2:10">
      <c r="B293" s="408"/>
      <c r="C293" s="158">
        <f t="shared" si="7"/>
        <v>30118</v>
      </c>
      <c r="D293" s="131" t="str">
        <f t="shared" si="8"/>
        <v>75A6</v>
      </c>
      <c r="E293" s="399" t="s">
        <v>129</v>
      </c>
      <c r="F293" s="399" t="s">
        <v>337</v>
      </c>
      <c r="G293" s="401" t="s">
        <v>338</v>
      </c>
      <c r="H293" s="403" t="s">
        <v>284</v>
      </c>
      <c r="I293" s="399">
        <v>1E-4</v>
      </c>
      <c r="J293" s="405" t="s">
        <v>339</v>
      </c>
    </row>
    <row r="294" spans="2:10">
      <c r="B294" s="408"/>
      <c r="C294" s="158">
        <f t="shared" si="7"/>
        <v>30119</v>
      </c>
      <c r="D294" s="131" t="str">
        <f t="shared" si="8"/>
        <v>75A7</v>
      </c>
      <c r="E294" s="400"/>
      <c r="F294" s="400"/>
      <c r="G294" s="402"/>
      <c r="H294" s="404"/>
      <c r="I294" s="400"/>
      <c r="J294" s="406"/>
    </row>
    <row r="295" spans="2:10">
      <c r="B295" s="408"/>
      <c r="C295" s="158">
        <f t="shared" si="7"/>
        <v>30120</v>
      </c>
      <c r="D295" s="131" t="str">
        <f t="shared" si="8"/>
        <v>75A8</v>
      </c>
      <c r="E295" s="399" t="s">
        <v>129</v>
      </c>
      <c r="F295" s="399" t="s">
        <v>340</v>
      </c>
      <c r="G295" s="401" t="s">
        <v>341</v>
      </c>
      <c r="H295" s="403" t="s">
        <v>284</v>
      </c>
      <c r="I295" s="399">
        <v>1E-4</v>
      </c>
      <c r="J295" s="405" t="s">
        <v>342</v>
      </c>
    </row>
    <row r="296" spans="2:10">
      <c r="B296" s="408"/>
      <c r="C296" s="158">
        <f t="shared" si="7"/>
        <v>30121</v>
      </c>
      <c r="D296" s="131" t="str">
        <f t="shared" si="8"/>
        <v>75A9</v>
      </c>
      <c r="E296" s="400"/>
      <c r="F296" s="400"/>
      <c r="G296" s="402"/>
      <c r="H296" s="404"/>
      <c r="I296" s="400"/>
      <c r="J296" s="406"/>
    </row>
    <row r="297" spans="2:10">
      <c r="B297" s="408"/>
      <c r="C297" s="158">
        <f t="shared" si="7"/>
        <v>30122</v>
      </c>
      <c r="D297" s="131" t="str">
        <f t="shared" si="8"/>
        <v>75AA</v>
      </c>
      <c r="E297" s="399" t="s">
        <v>129</v>
      </c>
      <c r="F297" s="399" t="s">
        <v>343</v>
      </c>
      <c r="G297" s="401" t="s">
        <v>344</v>
      </c>
      <c r="H297" s="403" t="s">
        <v>284</v>
      </c>
      <c r="I297" s="399">
        <v>1E-4</v>
      </c>
      <c r="J297" s="405" t="s">
        <v>345</v>
      </c>
    </row>
    <row r="298" spans="2:10">
      <c r="B298" s="408"/>
      <c r="C298" s="158">
        <f t="shared" si="7"/>
        <v>30123</v>
      </c>
      <c r="D298" s="131" t="str">
        <f t="shared" si="8"/>
        <v>75AB</v>
      </c>
      <c r="E298" s="400"/>
      <c r="F298" s="400"/>
      <c r="G298" s="402"/>
      <c r="H298" s="404"/>
      <c r="I298" s="400"/>
      <c r="J298" s="406"/>
    </row>
    <row r="299" spans="2:10">
      <c r="B299" s="408"/>
      <c r="C299" s="158">
        <f t="shared" si="7"/>
        <v>30124</v>
      </c>
      <c r="D299" s="131" t="str">
        <f t="shared" si="8"/>
        <v>75AC</v>
      </c>
      <c r="E299" s="113" t="s">
        <v>134</v>
      </c>
      <c r="F299" s="113" t="s">
        <v>346</v>
      </c>
      <c r="G299" s="115" t="s">
        <v>321</v>
      </c>
      <c r="H299" s="124" t="s">
        <v>132</v>
      </c>
      <c r="I299" s="113" t="s">
        <v>132</v>
      </c>
      <c r="J299" s="116" t="s">
        <v>347</v>
      </c>
    </row>
    <row r="300" spans="2:10">
      <c r="B300" s="408"/>
      <c r="C300" s="158">
        <f t="shared" si="7"/>
        <v>30125</v>
      </c>
      <c r="D300" s="131" t="str">
        <f t="shared" si="8"/>
        <v>75AD</v>
      </c>
      <c r="E300" s="113" t="s">
        <v>134</v>
      </c>
      <c r="F300" s="113" t="s">
        <v>348</v>
      </c>
      <c r="G300" s="115" t="s">
        <v>321</v>
      </c>
      <c r="H300" s="124" t="s">
        <v>132</v>
      </c>
      <c r="I300" s="113" t="s">
        <v>132</v>
      </c>
      <c r="J300" s="116" t="s">
        <v>349</v>
      </c>
    </row>
    <row r="301" spans="2:10">
      <c r="B301" s="408"/>
      <c r="C301" s="158">
        <f t="shared" si="7"/>
        <v>30126</v>
      </c>
      <c r="D301" s="131" t="str">
        <f t="shared" si="8"/>
        <v>75AE</v>
      </c>
      <c r="E301" s="113" t="s">
        <v>134</v>
      </c>
      <c r="F301" s="115" t="s">
        <v>55</v>
      </c>
      <c r="G301" s="115" t="s">
        <v>55</v>
      </c>
      <c r="H301" s="124" t="s">
        <v>132</v>
      </c>
      <c r="I301" s="113" t="s">
        <v>132</v>
      </c>
      <c r="J301" s="157" t="s">
        <v>55</v>
      </c>
    </row>
    <row r="302" spans="2:10">
      <c r="B302" s="408"/>
      <c r="C302" s="158">
        <f t="shared" si="7"/>
        <v>30127</v>
      </c>
      <c r="D302" s="84" t="str">
        <f t="shared" si="8"/>
        <v>75AF</v>
      </c>
      <c r="E302" s="80" t="s">
        <v>134</v>
      </c>
      <c r="F302" s="144" t="s">
        <v>55</v>
      </c>
      <c r="G302" s="115" t="s">
        <v>55</v>
      </c>
      <c r="H302" s="124" t="s">
        <v>132</v>
      </c>
      <c r="I302" s="113" t="s">
        <v>132</v>
      </c>
      <c r="J302" s="157" t="s">
        <v>55</v>
      </c>
    </row>
    <row r="303" spans="2:10">
      <c r="B303" s="408"/>
      <c r="C303" s="158">
        <f t="shared" si="7"/>
        <v>30128</v>
      </c>
      <c r="D303" s="131" t="str">
        <f t="shared" si="8"/>
        <v>75B0</v>
      </c>
      <c r="E303" s="397" t="s">
        <v>291</v>
      </c>
      <c r="F303" s="399" t="s">
        <v>350</v>
      </c>
      <c r="G303" s="401" t="s">
        <v>351</v>
      </c>
      <c r="H303" s="403" t="s">
        <v>294</v>
      </c>
      <c r="I303" s="399">
        <v>1E-3</v>
      </c>
      <c r="J303" s="405" t="s">
        <v>352</v>
      </c>
    </row>
    <row r="304" spans="2:10">
      <c r="B304" s="408"/>
      <c r="C304" s="158">
        <f t="shared" si="7"/>
        <v>30129</v>
      </c>
      <c r="D304" s="131" t="str">
        <f t="shared" si="8"/>
        <v>75B1</v>
      </c>
      <c r="E304" s="398"/>
      <c r="F304" s="400"/>
      <c r="G304" s="402"/>
      <c r="H304" s="404"/>
      <c r="I304" s="400"/>
      <c r="J304" s="406"/>
    </row>
    <row r="305" spans="2:10">
      <c r="B305" s="408"/>
      <c r="C305" s="158">
        <f t="shared" si="7"/>
        <v>30130</v>
      </c>
      <c r="D305" s="131" t="str">
        <f t="shared" si="8"/>
        <v>75B2</v>
      </c>
      <c r="E305" s="397" t="s">
        <v>291</v>
      </c>
      <c r="F305" s="399" t="s">
        <v>353</v>
      </c>
      <c r="G305" s="401" t="s">
        <v>354</v>
      </c>
      <c r="H305" s="403" t="s">
        <v>294</v>
      </c>
      <c r="I305" s="399">
        <v>1E-3</v>
      </c>
      <c r="J305" s="405" t="s">
        <v>355</v>
      </c>
    </row>
    <row r="306" spans="2:10">
      <c r="B306" s="408"/>
      <c r="C306" s="158">
        <f t="shared" si="7"/>
        <v>30131</v>
      </c>
      <c r="D306" s="131" t="str">
        <f t="shared" si="8"/>
        <v>75B3</v>
      </c>
      <c r="E306" s="398"/>
      <c r="F306" s="400"/>
      <c r="G306" s="402"/>
      <c r="H306" s="404"/>
      <c r="I306" s="400"/>
      <c r="J306" s="406"/>
    </row>
    <row r="307" spans="2:10">
      <c r="B307" s="408"/>
      <c r="C307" s="158">
        <f t="shared" si="7"/>
        <v>30132</v>
      </c>
      <c r="D307" s="131" t="str">
        <f t="shared" si="8"/>
        <v>75B4</v>
      </c>
      <c r="E307" s="397" t="s">
        <v>291</v>
      </c>
      <c r="F307" s="399" t="s">
        <v>356</v>
      </c>
      <c r="G307" s="401" t="s">
        <v>357</v>
      </c>
      <c r="H307" s="403" t="s">
        <v>294</v>
      </c>
      <c r="I307" s="399">
        <v>1E-3</v>
      </c>
      <c r="J307" s="405" t="s">
        <v>358</v>
      </c>
    </row>
    <row r="308" spans="2:10">
      <c r="B308" s="408"/>
      <c r="C308" s="158">
        <f t="shared" si="7"/>
        <v>30133</v>
      </c>
      <c r="D308" s="131" t="str">
        <f t="shared" si="8"/>
        <v>75B5</v>
      </c>
      <c r="E308" s="398"/>
      <c r="F308" s="400"/>
      <c r="G308" s="402"/>
      <c r="H308" s="404"/>
      <c r="I308" s="400"/>
      <c r="J308" s="406"/>
    </row>
    <row r="309" spans="2:10">
      <c r="B309" s="408"/>
      <c r="C309" s="158">
        <f t="shared" si="7"/>
        <v>30134</v>
      </c>
      <c r="D309" s="131" t="str">
        <f t="shared" si="8"/>
        <v>75B6</v>
      </c>
      <c r="E309" s="113" t="s">
        <v>134</v>
      </c>
      <c r="F309" s="113" t="s">
        <v>359</v>
      </c>
      <c r="G309" s="115" t="s">
        <v>321</v>
      </c>
      <c r="H309" s="124" t="s">
        <v>132</v>
      </c>
      <c r="I309" s="113" t="s">
        <v>132</v>
      </c>
      <c r="J309" s="116" t="s">
        <v>360</v>
      </c>
    </row>
    <row r="310" spans="2:10">
      <c r="B310" s="408"/>
      <c r="C310" s="158">
        <f t="shared" si="7"/>
        <v>30135</v>
      </c>
      <c r="D310" s="131" t="str">
        <f t="shared" si="8"/>
        <v>75B7</v>
      </c>
      <c r="E310" s="113" t="s">
        <v>134</v>
      </c>
      <c r="F310" s="113" t="s">
        <v>361</v>
      </c>
      <c r="G310" s="115" t="s">
        <v>321</v>
      </c>
      <c r="H310" s="124" t="s">
        <v>132</v>
      </c>
      <c r="I310" s="113" t="s">
        <v>132</v>
      </c>
      <c r="J310" s="116" t="s">
        <v>362</v>
      </c>
    </row>
    <row r="311" spans="2:10">
      <c r="B311" s="408"/>
      <c r="C311" s="158">
        <f t="shared" si="7"/>
        <v>30136</v>
      </c>
      <c r="D311" s="131" t="str">
        <f t="shared" si="8"/>
        <v>75B8</v>
      </c>
      <c r="E311" s="113" t="s">
        <v>134</v>
      </c>
      <c r="F311" s="115" t="s">
        <v>55</v>
      </c>
      <c r="G311" s="115" t="s">
        <v>55</v>
      </c>
      <c r="H311" s="124" t="s">
        <v>132</v>
      </c>
      <c r="I311" s="113" t="s">
        <v>132</v>
      </c>
      <c r="J311" s="157" t="s">
        <v>55</v>
      </c>
    </row>
    <row r="312" spans="2:10">
      <c r="B312" s="408"/>
      <c r="C312" s="158">
        <f t="shared" si="7"/>
        <v>30137</v>
      </c>
      <c r="D312" s="84" t="str">
        <f t="shared" si="8"/>
        <v>75B9</v>
      </c>
      <c r="E312" s="80" t="s">
        <v>134</v>
      </c>
      <c r="F312" s="144" t="s">
        <v>55</v>
      </c>
      <c r="G312" s="115" t="s">
        <v>55</v>
      </c>
      <c r="H312" s="124" t="s">
        <v>132</v>
      </c>
      <c r="I312" s="113" t="s">
        <v>132</v>
      </c>
      <c r="J312" s="157" t="s">
        <v>55</v>
      </c>
    </row>
    <row r="313" spans="2:10" ht="25.5">
      <c r="B313" s="408"/>
      <c r="C313" s="158">
        <f t="shared" si="7"/>
        <v>30138</v>
      </c>
      <c r="D313" s="131" t="str">
        <f t="shared" si="8"/>
        <v>75BA</v>
      </c>
      <c r="E313" s="113" t="s">
        <v>139</v>
      </c>
      <c r="F313" s="113" t="s">
        <v>363</v>
      </c>
      <c r="G313" s="115" t="s">
        <v>364</v>
      </c>
      <c r="H313" s="124" t="s">
        <v>284</v>
      </c>
      <c r="I313" s="113">
        <v>1E-3</v>
      </c>
      <c r="J313" s="116" t="s">
        <v>365</v>
      </c>
    </row>
    <row r="314" spans="2:10" ht="25.5">
      <c r="B314" s="408"/>
      <c r="C314" s="158">
        <f t="shared" si="7"/>
        <v>30139</v>
      </c>
      <c r="D314" s="131" t="str">
        <f t="shared" si="8"/>
        <v>75BB</v>
      </c>
      <c r="E314" s="113" t="s">
        <v>139</v>
      </c>
      <c r="F314" s="113" t="s">
        <v>366</v>
      </c>
      <c r="G314" s="115" t="s">
        <v>367</v>
      </c>
      <c r="H314" s="124" t="s">
        <v>284</v>
      </c>
      <c r="I314" s="113">
        <v>1E-3</v>
      </c>
      <c r="J314" s="116" t="s">
        <v>368</v>
      </c>
    </row>
    <row r="315" spans="2:10" ht="25.5">
      <c r="B315" s="408"/>
      <c r="C315" s="158">
        <f t="shared" si="7"/>
        <v>30140</v>
      </c>
      <c r="D315" s="131" t="str">
        <f t="shared" si="8"/>
        <v>75BC</v>
      </c>
      <c r="E315" s="113" t="s">
        <v>139</v>
      </c>
      <c r="F315" s="113" t="s">
        <v>369</v>
      </c>
      <c r="G315" s="115" t="s">
        <v>370</v>
      </c>
      <c r="H315" s="124" t="s">
        <v>284</v>
      </c>
      <c r="I315" s="113">
        <v>1E-3</v>
      </c>
      <c r="J315" s="116" t="s">
        <v>371</v>
      </c>
    </row>
    <row r="316" spans="2:10">
      <c r="B316" s="408"/>
      <c r="C316" s="158">
        <f t="shared" si="7"/>
        <v>30141</v>
      </c>
      <c r="D316" s="131" t="str">
        <f t="shared" si="8"/>
        <v>75BD</v>
      </c>
      <c r="E316" s="113" t="s">
        <v>134</v>
      </c>
      <c r="F316" s="113" t="s">
        <v>372</v>
      </c>
      <c r="G316" s="115" t="s">
        <v>373</v>
      </c>
      <c r="H316" s="159" t="s">
        <v>132</v>
      </c>
      <c r="I316" s="114" t="s">
        <v>132</v>
      </c>
      <c r="J316" s="116" t="s">
        <v>374</v>
      </c>
    </row>
    <row r="317" spans="2:10">
      <c r="B317" s="408"/>
      <c r="C317" s="158">
        <f t="shared" si="7"/>
        <v>30142</v>
      </c>
      <c r="D317" s="131" t="str">
        <f t="shared" si="8"/>
        <v>75BE</v>
      </c>
      <c r="E317" s="113" t="s">
        <v>134</v>
      </c>
      <c r="F317" s="113" t="s">
        <v>375</v>
      </c>
      <c r="G317" s="115" t="s">
        <v>376</v>
      </c>
      <c r="H317" s="159" t="s">
        <v>132</v>
      </c>
      <c r="I317" s="114" t="s">
        <v>132</v>
      </c>
      <c r="J317" s="116" t="s">
        <v>377</v>
      </c>
    </row>
    <row r="318" spans="2:10">
      <c r="B318" s="408"/>
      <c r="C318" s="158">
        <f t="shared" si="7"/>
        <v>30143</v>
      </c>
      <c r="D318" s="131" t="str">
        <f t="shared" si="8"/>
        <v>75BF</v>
      </c>
      <c r="E318" s="113" t="s">
        <v>134</v>
      </c>
      <c r="F318" s="113" t="s">
        <v>378</v>
      </c>
      <c r="G318" s="115" t="s">
        <v>379</v>
      </c>
      <c r="H318" s="159" t="s">
        <v>132</v>
      </c>
      <c r="I318" s="114" t="s">
        <v>132</v>
      </c>
      <c r="J318" s="116" t="s">
        <v>380</v>
      </c>
    </row>
    <row r="319" spans="2:10">
      <c r="B319" s="408"/>
      <c r="C319" s="158">
        <f t="shared" si="7"/>
        <v>30144</v>
      </c>
      <c r="D319" s="131" t="str">
        <f t="shared" si="8"/>
        <v>75C0</v>
      </c>
      <c r="E319" s="113" t="s">
        <v>134</v>
      </c>
      <c r="F319" s="113" t="s">
        <v>381</v>
      </c>
      <c r="G319" s="115" t="s">
        <v>373</v>
      </c>
      <c r="H319" s="159" t="s">
        <v>132</v>
      </c>
      <c r="I319" s="114" t="s">
        <v>132</v>
      </c>
      <c r="J319" s="116" t="s">
        <v>382</v>
      </c>
    </row>
    <row r="320" spans="2:10">
      <c r="B320" s="408"/>
      <c r="C320" s="158">
        <f t="shared" si="7"/>
        <v>30145</v>
      </c>
      <c r="D320" s="131" t="str">
        <f t="shared" si="8"/>
        <v>75C1</v>
      </c>
      <c r="E320" s="113" t="s">
        <v>134</v>
      </c>
      <c r="F320" s="113" t="s">
        <v>383</v>
      </c>
      <c r="G320" s="115" t="s">
        <v>376</v>
      </c>
      <c r="H320" s="159" t="s">
        <v>132</v>
      </c>
      <c r="I320" s="114" t="s">
        <v>132</v>
      </c>
      <c r="J320" s="116" t="s">
        <v>384</v>
      </c>
    </row>
    <row r="321" spans="2:10">
      <c r="B321" s="408"/>
      <c r="C321" s="158">
        <f t="shared" si="7"/>
        <v>30146</v>
      </c>
      <c r="D321" s="131" t="str">
        <f t="shared" si="8"/>
        <v>75C2</v>
      </c>
      <c r="E321" s="113" t="s">
        <v>134</v>
      </c>
      <c r="F321" s="113" t="s">
        <v>385</v>
      </c>
      <c r="G321" s="115" t="s">
        <v>379</v>
      </c>
      <c r="H321" s="159" t="s">
        <v>132</v>
      </c>
      <c r="I321" s="114" t="s">
        <v>132</v>
      </c>
      <c r="J321" s="116" t="s">
        <v>386</v>
      </c>
    </row>
    <row r="322" spans="2:10">
      <c r="B322" s="408"/>
      <c r="C322" s="158">
        <f t="shared" si="7"/>
        <v>30147</v>
      </c>
      <c r="D322" s="131" t="str">
        <f t="shared" si="8"/>
        <v>75C3</v>
      </c>
      <c r="E322" s="113" t="s">
        <v>139</v>
      </c>
      <c r="F322" s="115" t="s">
        <v>55</v>
      </c>
      <c r="G322" s="115" t="s">
        <v>55</v>
      </c>
      <c r="H322" s="124"/>
      <c r="I322" s="113"/>
      <c r="J322" s="157" t="s">
        <v>55</v>
      </c>
    </row>
    <row r="323" spans="2:10">
      <c r="B323" s="408"/>
      <c r="C323" s="158">
        <f t="shared" si="7"/>
        <v>30148</v>
      </c>
      <c r="D323" s="84" t="str">
        <f t="shared" si="8"/>
        <v>75C4</v>
      </c>
      <c r="E323" s="80" t="s">
        <v>139</v>
      </c>
      <c r="F323" s="144" t="s">
        <v>55</v>
      </c>
      <c r="G323" s="115" t="s">
        <v>55</v>
      </c>
      <c r="H323" s="124"/>
      <c r="I323" s="113"/>
      <c r="J323" s="157" t="s">
        <v>55</v>
      </c>
    </row>
    <row r="324" spans="2:10" ht="25.5">
      <c r="B324" s="408"/>
      <c r="C324" s="158">
        <f t="shared" si="7"/>
        <v>30149</v>
      </c>
      <c r="D324" s="131" t="str">
        <f t="shared" si="8"/>
        <v>75C5</v>
      </c>
      <c r="E324" s="160" t="s">
        <v>387</v>
      </c>
      <c r="F324" s="113" t="s">
        <v>388</v>
      </c>
      <c r="G324" s="115" t="s">
        <v>389</v>
      </c>
      <c r="H324" s="161" t="s">
        <v>390</v>
      </c>
      <c r="I324" s="113">
        <v>0.1</v>
      </c>
      <c r="J324" s="116" t="s">
        <v>391</v>
      </c>
    </row>
    <row r="325" spans="2:10" ht="25.5">
      <c r="B325" s="408"/>
      <c r="C325" s="158">
        <f t="shared" si="7"/>
        <v>30150</v>
      </c>
      <c r="D325" s="131" t="str">
        <f t="shared" si="8"/>
        <v>75C6</v>
      </c>
      <c r="E325" s="160" t="s">
        <v>387</v>
      </c>
      <c r="F325" s="113" t="s">
        <v>392</v>
      </c>
      <c r="G325" s="115" t="s">
        <v>393</v>
      </c>
      <c r="H325" s="161" t="s">
        <v>390</v>
      </c>
      <c r="I325" s="113">
        <v>0.1</v>
      </c>
      <c r="J325" s="116" t="s">
        <v>394</v>
      </c>
    </row>
    <row r="326" spans="2:10" ht="25.5">
      <c r="B326" s="408"/>
      <c r="C326" s="158">
        <f t="shared" si="7"/>
        <v>30151</v>
      </c>
      <c r="D326" s="131" t="str">
        <f t="shared" si="8"/>
        <v>75C7</v>
      </c>
      <c r="E326" s="160" t="s">
        <v>387</v>
      </c>
      <c r="F326" s="113" t="s">
        <v>395</v>
      </c>
      <c r="G326" s="115" t="s">
        <v>396</v>
      </c>
      <c r="H326" s="161" t="s">
        <v>390</v>
      </c>
      <c r="I326" s="113">
        <v>0.1</v>
      </c>
      <c r="J326" s="116" t="s">
        <v>397</v>
      </c>
    </row>
    <row r="327" spans="2:10">
      <c r="B327" s="408"/>
      <c r="C327" s="158">
        <f t="shared" si="7"/>
        <v>30152</v>
      </c>
      <c r="D327" s="131" t="str">
        <f t="shared" si="8"/>
        <v>75C8</v>
      </c>
      <c r="E327" s="113" t="s">
        <v>134</v>
      </c>
      <c r="F327" s="113" t="s">
        <v>398</v>
      </c>
      <c r="G327" s="115" t="s">
        <v>321</v>
      </c>
      <c r="H327" s="159" t="s">
        <v>132</v>
      </c>
      <c r="I327" s="114" t="s">
        <v>132</v>
      </c>
      <c r="J327" s="116" t="s">
        <v>399</v>
      </c>
    </row>
    <row r="328" spans="2:10">
      <c r="B328" s="408"/>
      <c r="C328" s="158">
        <f t="shared" si="7"/>
        <v>30153</v>
      </c>
      <c r="D328" s="131" t="str">
        <f t="shared" si="8"/>
        <v>75C9</v>
      </c>
      <c r="E328" s="113" t="s">
        <v>134</v>
      </c>
      <c r="F328" s="113" t="s">
        <v>400</v>
      </c>
      <c r="G328" s="115" t="s">
        <v>401</v>
      </c>
      <c r="H328" s="159" t="s">
        <v>132</v>
      </c>
      <c r="I328" s="114" t="s">
        <v>132</v>
      </c>
      <c r="J328" s="116" t="s">
        <v>402</v>
      </c>
    </row>
    <row r="329" spans="2:10">
      <c r="B329" s="408"/>
      <c r="C329" s="158">
        <f t="shared" si="7"/>
        <v>30154</v>
      </c>
      <c r="D329" s="131" t="str">
        <f t="shared" si="8"/>
        <v>75CA</v>
      </c>
      <c r="E329" s="113" t="s">
        <v>134</v>
      </c>
      <c r="F329" s="113" t="s">
        <v>403</v>
      </c>
      <c r="G329" s="115" t="s">
        <v>404</v>
      </c>
      <c r="H329" s="159" t="s">
        <v>132</v>
      </c>
      <c r="I329" s="114" t="s">
        <v>132</v>
      </c>
      <c r="J329" s="116" t="s">
        <v>405</v>
      </c>
    </row>
    <row r="330" spans="2:10">
      <c r="B330" s="408"/>
      <c r="C330" s="158">
        <f t="shared" si="7"/>
        <v>30155</v>
      </c>
      <c r="D330" s="131" t="str">
        <f t="shared" si="8"/>
        <v>75CB</v>
      </c>
      <c r="E330" s="113" t="s">
        <v>134</v>
      </c>
      <c r="F330" s="113" t="s">
        <v>406</v>
      </c>
      <c r="G330" s="115" t="s">
        <v>321</v>
      </c>
      <c r="H330" s="124" t="s">
        <v>132</v>
      </c>
      <c r="I330" s="113" t="s">
        <v>132</v>
      </c>
      <c r="J330" s="116" t="s">
        <v>407</v>
      </c>
    </row>
    <row r="331" spans="2:10">
      <c r="B331" s="408"/>
      <c r="C331" s="158">
        <f t="shared" si="7"/>
        <v>30156</v>
      </c>
      <c r="D331" s="131" t="str">
        <f t="shared" si="8"/>
        <v>75CC</v>
      </c>
      <c r="E331" s="113" t="s">
        <v>134</v>
      </c>
      <c r="F331" s="113" t="s">
        <v>408</v>
      </c>
      <c r="G331" s="115" t="s">
        <v>401</v>
      </c>
      <c r="H331" s="159" t="s">
        <v>132</v>
      </c>
      <c r="I331" s="114" t="s">
        <v>132</v>
      </c>
      <c r="J331" s="116" t="s">
        <v>409</v>
      </c>
    </row>
    <row r="332" spans="2:10">
      <c r="B332" s="408"/>
      <c r="C332" s="158">
        <f t="shared" si="7"/>
        <v>30157</v>
      </c>
      <c r="D332" s="131" t="str">
        <f t="shared" si="8"/>
        <v>75CD</v>
      </c>
      <c r="E332" s="113" t="s">
        <v>134</v>
      </c>
      <c r="F332" s="113" t="s">
        <v>410</v>
      </c>
      <c r="G332" s="115" t="s">
        <v>404</v>
      </c>
      <c r="H332" s="113" t="s">
        <v>132</v>
      </c>
      <c r="I332" s="113" t="s">
        <v>132</v>
      </c>
      <c r="J332" s="116" t="s">
        <v>411</v>
      </c>
    </row>
    <row r="333" spans="2:10">
      <c r="B333" s="409"/>
      <c r="C333" s="158">
        <f>C332+1</f>
        <v>30158</v>
      </c>
      <c r="D333" s="131" t="str">
        <f t="shared" si="8"/>
        <v>75CE</v>
      </c>
      <c r="E333" s="80" t="s">
        <v>134</v>
      </c>
      <c r="F333" s="115" t="s">
        <v>62</v>
      </c>
      <c r="G333" s="115"/>
      <c r="H333" s="113" t="s">
        <v>132</v>
      </c>
      <c r="I333" s="113" t="s">
        <v>132</v>
      </c>
      <c r="J333" s="115"/>
    </row>
    <row r="334" spans="2:10">
      <c r="B334" s="409"/>
      <c r="C334" s="112">
        <f t="shared" si="7"/>
        <v>30159</v>
      </c>
      <c r="D334" s="131" t="str">
        <f t="shared" si="8"/>
        <v>75CF</v>
      </c>
      <c r="E334" s="113" t="s">
        <v>134</v>
      </c>
      <c r="F334" s="115" t="s">
        <v>62</v>
      </c>
      <c r="G334" s="115"/>
      <c r="H334" s="113" t="s">
        <v>132</v>
      </c>
      <c r="I334" s="113" t="s">
        <v>132</v>
      </c>
      <c r="J334" s="115"/>
    </row>
    <row r="335" spans="2:10">
      <c r="B335" s="409"/>
      <c r="C335" s="112">
        <f t="shared" si="7"/>
        <v>30160</v>
      </c>
      <c r="D335" s="131" t="str">
        <f t="shared" si="8"/>
        <v>75D0</v>
      </c>
      <c r="E335" s="113" t="s">
        <v>134</v>
      </c>
      <c r="F335" s="115" t="s">
        <v>62</v>
      </c>
      <c r="G335" s="115"/>
      <c r="H335" s="113" t="s">
        <v>132</v>
      </c>
      <c r="I335" s="113" t="s">
        <v>132</v>
      </c>
      <c r="J335" s="115"/>
    </row>
    <row r="336" spans="2:10">
      <c r="B336" s="409"/>
      <c r="C336" s="112">
        <f t="shared" si="7"/>
        <v>30161</v>
      </c>
      <c r="D336" s="131" t="str">
        <f t="shared" si="8"/>
        <v>75D1</v>
      </c>
      <c r="E336" s="113" t="s">
        <v>134</v>
      </c>
      <c r="F336" s="115" t="s">
        <v>62</v>
      </c>
      <c r="G336" s="115"/>
      <c r="H336" s="113" t="s">
        <v>132</v>
      </c>
      <c r="I336" s="113" t="s">
        <v>132</v>
      </c>
      <c r="J336" s="115"/>
    </row>
    <row r="337" spans="2:10">
      <c r="B337" s="409"/>
      <c r="C337" s="112">
        <f t="shared" si="7"/>
        <v>30162</v>
      </c>
      <c r="D337" s="131" t="str">
        <f t="shared" si="8"/>
        <v>75D2</v>
      </c>
      <c r="E337" s="113" t="s">
        <v>134</v>
      </c>
      <c r="F337" s="115" t="s">
        <v>62</v>
      </c>
      <c r="G337" s="115"/>
      <c r="H337" s="113" t="s">
        <v>132</v>
      </c>
      <c r="I337" s="113" t="s">
        <v>132</v>
      </c>
      <c r="J337" s="115"/>
    </row>
    <row r="338" spans="2:10">
      <c r="B338" s="409"/>
      <c r="C338" s="112">
        <f t="shared" si="7"/>
        <v>30163</v>
      </c>
      <c r="D338" s="131" t="str">
        <f t="shared" si="8"/>
        <v>75D3</v>
      </c>
      <c r="E338" s="113" t="s">
        <v>134</v>
      </c>
      <c r="F338" s="115" t="s">
        <v>62</v>
      </c>
      <c r="G338" s="115"/>
      <c r="H338" s="113" t="s">
        <v>132</v>
      </c>
      <c r="I338" s="113" t="s">
        <v>132</v>
      </c>
      <c r="J338" s="115"/>
    </row>
    <row r="339" spans="2:10">
      <c r="B339" s="409"/>
      <c r="C339" s="112">
        <f t="shared" si="7"/>
        <v>30164</v>
      </c>
      <c r="D339" s="131" t="str">
        <f t="shared" si="8"/>
        <v>75D4</v>
      </c>
      <c r="E339" s="113" t="s">
        <v>134</v>
      </c>
      <c r="F339" s="115" t="s">
        <v>55</v>
      </c>
      <c r="G339" s="115" t="s">
        <v>55</v>
      </c>
      <c r="H339" s="113" t="s">
        <v>132</v>
      </c>
      <c r="I339" s="113" t="s">
        <v>132</v>
      </c>
      <c r="J339" s="115" t="s">
        <v>55</v>
      </c>
    </row>
    <row r="340" spans="2:10">
      <c r="B340" s="409"/>
      <c r="C340" s="112">
        <f t="shared" ref="C340:C344" si="9">C339+1</f>
        <v>30165</v>
      </c>
      <c r="D340" s="131" t="str">
        <f t="shared" si="8"/>
        <v>75D5</v>
      </c>
      <c r="E340" s="113" t="s">
        <v>134</v>
      </c>
      <c r="F340" s="115" t="s">
        <v>55</v>
      </c>
      <c r="G340" s="115" t="s">
        <v>55</v>
      </c>
      <c r="H340" s="113" t="s">
        <v>132</v>
      </c>
      <c r="I340" s="113" t="s">
        <v>132</v>
      </c>
      <c r="J340" s="115" t="s">
        <v>55</v>
      </c>
    </row>
    <row r="341" spans="2:10">
      <c r="B341" s="409"/>
      <c r="C341" s="112">
        <f t="shared" si="9"/>
        <v>30166</v>
      </c>
      <c r="D341" s="131" t="str">
        <f t="shared" si="8"/>
        <v>75D6</v>
      </c>
      <c r="E341" s="113" t="s">
        <v>134</v>
      </c>
      <c r="F341" s="115" t="s">
        <v>55</v>
      </c>
      <c r="G341" s="115" t="s">
        <v>55</v>
      </c>
      <c r="H341" s="113" t="s">
        <v>132</v>
      </c>
      <c r="I341" s="113" t="s">
        <v>132</v>
      </c>
      <c r="J341" s="115" t="s">
        <v>55</v>
      </c>
    </row>
    <row r="342" spans="2:10">
      <c r="B342" s="409"/>
      <c r="C342" s="112">
        <f t="shared" si="9"/>
        <v>30167</v>
      </c>
      <c r="D342" s="131" t="str">
        <f t="shared" si="8"/>
        <v>75D7</v>
      </c>
      <c r="E342" s="113" t="s">
        <v>134</v>
      </c>
      <c r="F342" s="115" t="s">
        <v>55</v>
      </c>
      <c r="G342" s="115" t="s">
        <v>55</v>
      </c>
      <c r="H342" s="113" t="s">
        <v>132</v>
      </c>
      <c r="I342" s="113" t="s">
        <v>132</v>
      </c>
      <c r="J342" s="115" t="s">
        <v>55</v>
      </c>
    </row>
    <row r="343" spans="2:10">
      <c r="B343" s="409"/>
      <c r="C343" s="112">
        <f t="shared" si="9"/>
        <v>30168</v>
      </c>
      <c r="D343" s="131" t="str">
        <f t="shared" si="8"/>
        <v>75D8</v>
      </c>
      <c r="E343" s="113" t="s">
        <v>134</v>
      </c>
      <c r="F343" s="115" t="s">
        <v>55</v>
      </c>
      <c r="G343" s="115" t="s">
        <v>55</v>
      </c>
      <c r="H343" s="113" t="s">
        <v>132</v>
      </c>
      <c r="I343" s="113" t="s">
        <v>132</v>
      </c>
      <c r="J343" s="115" t="s">
        <v>55</v>
      </c>
    </row>
    <row r="344" spans="2:10">
      <c r="B344" s="408"/>
      <c r="C344" s="112">
        <f t="shared" si="9"/>
        <v>30169</v>
      </c>
      <c r="D344" s="113" t="str">
        <f t="shared" si="8"/>
        <v>75D9</v>
      </c>
      <c r="E344" s="113" t="s">
        <v>134</v>
      </c>
      <c r="F344" s="115" t="s">
        <v>55</v>
      </c>
      <c r="G344" s="115" t="s">
        <v>55</v>
      </c>
      <c r="H344" s="113" t="s">
        <v>132</v>
      </c>
      <c r="I344" s="113" t="s">
        <v>132</v>
      </c>
      <c r="J344" s="115" t="s">
        <v>55</v>
      </c>
    </row>
  </sheetData>
  <mergeCells count="206">
    <mergeCell ref="B2:J2"/>
    <mergeCell ref="B8:B37"/>
    <mergeCell ref="E8:E9"/>
    <mergeCell ref="F8:F9"/>
    <mergeCell ref="G8:G9"/>
    <mergeCell ref="J8:J9"/>
    <mergeCell ref="F77:F91"/>
    <mergeCell ref="H77:H91"/>
    <mergeCell ref="C97:C112"/>
    <mergeCell ref="D97:D112"/>
    <mergeCell ref="E97:E112"/>
    <mergeCell ref="F97:F99"/>
    <mergeCell ref="H97:H112"/>
    <mergeCell ref="I38:I62"/>
    <mergeCell ref="B67:B243"/>
    <mergeCell ref="C68:C76"/>
    <mergeCell ref="D68:D76"/>
    <mergeCell ref="E68:E76"/>
    <mergeCell ref="F68:F76"/>
    <mergeCell ref="H68:H76"/>
    <mergeCell ref="C77:C91"/>
    <mergeCell ref="D77:D91"/>
    <mergeCell ref="E77:E91"/>
    <mergeCell ref="B38:B66"/>
    <mergeCell ref="C38:C62"/>
    <mergeCell ref="D38:D62"/>
    <mergeCell ref="E38:E62"/>
    <mergeCell ref="F38:F62"/>
    <mergeCell ref="H38:H62"/>
    <mergeCell ref="I97:I112"/>
    <mergeCell ref="J97:J99"/>
    <mergeCell ref="F100:F102"/>
    <mergeCell ref="J100:J102"/>
    <mergeCell ref="F103:F105"/>
    <mergeCell ref="J103:J105"/>
    <mergeCell ref="F106:F108"/>
    <mergeCell ref="J106:J108"/>
    <mergeCell ref="F109:F111"/>
    <mergeCell ref="J109:J111"/>
    <mergeCell ref="J113:J115"/>
    <mergeCell ref="F116:F118"/>
    <mergeCell ref="J116:J118"/>
    <mergeCell ref="F119:F121"/>
    <mergeCell ref="J119:J121"/>
    <mergeCell ref="F122:F124"/>
    <mergeCell ref="J122:J124"/>
    <mergeCell ref="C113:C128"/>
    <mergeCell ref="D113:D128"/>
    <mergeCell ref="E113:E128"/>
    <mergeCell ref="F113:F115"/>
    <mergeCell ref="H113:H128"/>
    <mergeCell ref="I113:I128"/>
    <mergeCell ref="F125:F127"/>
    <mergeCell ref="F135:F137"/>
    <mergeCell ref="J135:J137"/>
    <mergeCell ref="F138:F140"/>
    <mergeCell ref="J138:J140"/>
    <mergeCell ref="F141:F143"/>
    <mergeCell ref="J141:J143"/>
    <mergeCell ref="J125:J127"/>
    <mergeCell ref="C129:C144"/>
    <mergeCell ref="D129:D144"/>
    <mergeCell ref="E129:E144"/>
    <mergeCell ref="F129:F131"/>
    <mergeCell ref="H129:H144"/>
    <mergeCell ref="I129:I144"/>
    <mergeCell ref="J129:J131"/>
    <mergeCell ref="F132:F134"/>
    <mergeCell ref="J132:J134"/>
    <mergeCell ref="J145:J147"/>
    <mergeCell ref="F148:F150"/>
    <mergeCell ref="J148:J150"/>
    <mergeCell ref="F151:F153"/>
    <mergeCell ref="J151:J153"/>
    <mergeCell ref="F154:F156"/>
    <mergeCell ref="J154:J156"/>
    <mergeCell ref="C145:C160"/>
    <mergeCell ref="D145:D160"/>
    <mergeCell ref="E145:E160"/>
    <mergeCell ref="F145:F147"/>
    <mergeCell ref="H145:H160"/>
    <mergeCell ref="I145:I160"/>
    <mergeCell ref="F157:F159"/>
    <mergeCell ref="F167:F169"/>
    <mergeCell ref="J167:J169"/>
    <mergeCell ref="F170:F172"/>
    <mergeCell ref="J170:J172"/>
    <mergeCell ref="F173:F175"/>
    <mergeCell ref="J173:J175"/>
    <mergeCell ref="J157:J159"/>
    <mergeCell ref="C161:C176"/>
    <mergeCell ref="D161:D176"/>
    <mergeCell ref="E161:E176"/>
    <mergeCell ref="F161:F163"/>
    <mergeCell ref="H161:H176"/>
    <mergeCell ref="I161:I176"/>
    <mergeCell ref="J161:J163"/>
    <mergeCell ref="F164:F166"/>
    <mergeCell ref="J164:J166"/>
    <mergeCell ref="J177:J179"/>
    <mergeCell ref="F180:F182"/>
    <mergeCell ref="J180:J182"/>
    <mergeCell ref="F183:F185"/>
    <mergeCell ref="J183:J185"/>
    <mergeCell ref="F186:F188"/>
    <mergeCell ref="J186:J188"/>
    <mergeCell ref="C177:C192"/>
    <mergeCell ref="D177:D192"/>
    <mergeCell ref="E177:E192"/>
    <mergeCell ref="F177:F179"/>
    <mergeCell ref="H177:H192"/>
    <mergeCell ref="I177:I192"/>
    <mergeCell ref="F189:F191"/>
    <mergeCell ref="J189:J191"/>
    <mergeCell ref="C193:C208"/>
    <mergeCell ref="D193:D208"/>
    <mergeCell ref="E193:E208"/>
    <mergeCell ref="F193:F195"/>
    <mergeCell ref="H193:H208"/>
    <mergeCell ref="I193:I208"/>
    <mergeCell ref="J193:J195"/>
    <mergeCell ref="F196:F198"/>
    <mergeCell ref="J196:J198"/>
    <mergeCell ref="C209:C224"/>
    <mergeCell ref="D209:D224"/>
    <mergeCell ref="E209:E224"/>
    <mergeCell ref="F209:F211"/>
    <mergeCell ref="H209:H224"/>
    <mergeCell ref="I209:I224"/>
    <mergeCell ref="F221:F223"/>
    <mergeCell ref="F199:F201"/>
    <mergeCell ref="J199:J201"/>
    <mergeCell ref="F202:F204"/>
    <mergeCell ref="J202:J204"/>
    <mergeCell ref="F205:F207"/>
    <mergeCell ref="J205:J207"/>
    <mergeCell ref="J221:J223"/>
    <mergeCell ref="E231:E232"/>
    <mergeCell ref="F231:F232"/>
    <mergeCell ref="G231:G232"/>
    <mergeCell ref="H231:H232"/>
    <mergeCell ref="I231:I232"/>
    <mergeCell ref="J209:J211"/>
    <mergeCell ref="F212:F214"/>
    <mergeCell ref="J212:J214"/>
    <mergeCell ref="F215:F217"/>
    <mergeCell ref="J215:J217"/>
    <mergeCell ref="F218:F220"/>
    <mergeCell ref="J218:J220"/>
    <mergeCell ref="E233:E234"/>
    <mergeCell ref="F233:F234"/>
    <mergeCell ref="G233:G234"/>
    <mergeCell ref="H233:H234"/>
    <mergeCell ref="I233:I234"/>
    <mergeCell ref="E235:E236"/>
    <mergeCell ref="F235:F236"/>
    <mergeCell ref="G235:G236"/>
    <mergeCell ref="H235:H236"/>
    <mergeCell ref="I235:I236"/>
    <mergeCell ref="E237:E238"/>
    <mergeCell ref="F237:F238"/>
    <mergeCell ref="G237:G238"/>
    <mergeCell ref="H237:H238"/>
    <mergeCell ref="I237:I238"/>
    <mergeCell ref="E239:E240"/>
    <mergeCell ref="F239:F240"/>
    <mergeCell ref="G239:G240"/>
    <mergeCell ref="H239:H240"/>
    <mergeCell ref="I239:I240"/>
    <mergeCell ref="B244:B344"/>
    <mergeCell ref="E293:E294"/>
    <mergeCell ref="F293:F294"/>
    <mergeCell ref="G293:G294"/>
    <mergeCell ref="H293:H294"/>
    <mergeCell ref="I293:I294"/>
    <mergeCell ref="E297:E298"/>
    <mergeCell ref="F297:F298"/>
    <mergeCell ref="G297:G298"/>
    <mergeCell ref="H297:H298"/>
    <mergeCell ref="I297:I298"/>
    <mergeCell ref="J297:J298"/>
    <mergeCell ref="E303:E304"/>
    <mergeCell ref="F303:F304"/>
    <mergeCell ref="G303:G304"/>
    <mergeCell ref="H303:H304"/>
    <mergeCell ref="I303:I304"/>
    <mergeCell ref="J303:J304"/>
    <mergeCell ref="J293:J294"/>
    <mergeCell ref="E295:E296"/>
    <mergeCell ref="F295:F296"/>
    <mergeCell ref="G295:G296"/>
    <mergeCell ref="H295:H296"/>
    <mergeCell ref="I295:I296"/>
    <mergeCell ref="J295:J296"/>
    <mergeCell ref="E307:E308"/>
    <mergeCell ref="F307:F308"/>
    <mergeCell ref="G307:G308"/>
    <mergeCell ref="H307:H308"/>
    <mergeCell ref="I307:I308"/>
    <mergeCell ref="J307:J308"/>
    <mergeCell ref="E305:E306"/>
    <mergeCell ref="F305:F306"/>
    <mergeCell ref="G305:G306"/>
    <mergeCell ref="H305:H306"/>
    <mergeCell ref="I305:I306"/>
    <mergeCell ref="J305:J306"/>
  </mergeCells>
  <phoneticPr fontId="3" type="noConversion"/>
  <pageMargins left="0.25" right="0.25" top="0.75" bottom="0.75" header="0.3" footer="0.3"/>
  <pageSetup paperSize="9" scale="39" fitToHeight="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27"/>
  <sheetViews>
    <sheetView zoomScaleNormal="100" workbookViewId="0">
      <selection activeCell="C19" sqref="C19"/>
    </sheetView>
  </sheetViews>
  <sheetFormatPr defaultColWidth="9" defaultRowHeight="13.5"/>
  <cols>
    <col min="1" max="1" width="22.7109375" style="2" customWidth="1"/>
    <col min="2" max="2" width="8.5703125" style="2" bestFit="1" customWidth="1"/>
    <col min="3" max="3" width="47.28515625" style="2" bestFit="1" customWidth="1"/>
    <col min="4" max="4" width="70.42578125" style="2" bestFit="1" customWidth="1"/>
    <col min="5" max="5" width="80.85546875" style="2" bestFit="1" customWidth="1"/>
    <col min="6" max="16384" width="9" style="2"/>
  </cols>
  <sheetData>
    <row r="2" spans="1:5" ht="30">
      <c r="A2" s="437" t="s">
        <v>412</v>
      </c>
      <c r="B2" s="437"/>
      <c r="C2" s="437"/>
      <c r="D2" s="437"/>
      <c r="E2" s="437"/>
    </row>
    <row r="3" spans="1:5" ht="18">
      <c r="A3" s="65" t="s">
        <v>413</v>
      </c>
      <c r="B3" s="66"/>
      <c r="C3" s="64"/>
      <c r="D3" s="64"/>
      <c r="E3" s="64"/>
    </row>
    <row r="5" spans="1:5" ht="18.75" thickBot="1">
      <c r="A5" s="67" t="s">
        <v>414</v>
      </c>
      <c r="B5" s="66"/>
      <c r="C5" s="64"/>
      <c r="D5" s="64"/>
      <c r="E5" s="64"/>
    </row>
    <row r="6" spans="1:5" ht="18">
      <c r="A6" s="163" t="s">
        <v>415</v>
      </c>
      <c r="B6" s="164"/>
      <c r="C6" s="165"/>
      <c r="D6" s="165"/>
      <c r="E6" s="166"/>
    </row>
    <row r="7" spans="1:5" ht="18">
      <c r="A7" s="167"/>
      <c r="B7" s="66"/>
      <c r="C7" s="64"/>
      <c r="D7" s="64"/>
      <c r="E7" s="168"/>
    </row>
    <row r="8" spans="1:5" ht="19.5" thickBot="1">
      <c r="A8" s="169"/>
      <c r="C8" s="64"/>
      <c r="D8" s="64"/>
      <c r="E8" s="168"/>
    </row>
    <row r="9" spans="1:5" ht="38.25">
      <c r="A9" s="69" t="s">
        <v>79</v>
      </c>
      <c r="B9" s="170" t="s">
        <v>121</v>
      </c>
      <c r="C9" s="171" t="s">
        <v>124</v>
      </c>
      <c r="D9" s="171" t="s">
        <v>50</v>
      </c>
      <c r="E9" s="172" t="s">
        <v>127</v>
      </c>
    </row>
    <row r="10" spans="1:5" ht="13.5" customHeight="1">
      <c r="A10" s="446" t="s">
        <v>416</v>
      </c>
      <c r="B10" s="113">
        <v>1</v>
      </c>
      <c r="C10" s="117" t="s">
        <v>417</v>
      </c>
      <c r="D10" s="435" t="s">
        <v>418</v>
      </c>
      <c r="E10" s="435" t="s">
        <v>419</v>
      </c>
    </row>
    <row r="11" spans="1:5" ht="13.5" customHeight="1">
      <c r="A11" s="446"/>
      <c r="B11" s="113" t="s">
        <v>420</v>
      </c>
      <c r="C11" s="115"/>
      <c r="D11" s="435"/>
      <c r="E11" s="435"/>
    </row>
    <row r="12" spans="1:5" ht="13.5" customHeight="1">
      <c r="A12" s="446"/>
      <c r="B12" s="113" t="s">
        <v>100</v>
      </c>
      <c r="C12" s="115" t="s">
        <v>421</v>
      </c>
      <c r="D12" s="435"/>
      <c r="E12" s="435"/>
    </row>
    <row r="13" spans="1:5" ht="13.5" customHeight="1">
      <c r="A13" s="446"/>
      <c r="B13" s="113" t="s">
        <v>422</v>
      </c>
      <c r="C13" s="117" t="s">
        <v>423</v>
      </c>
      <c r="D13" s="435" t="s">
        <v>424</v>
      </c>
      <c r="E13" s="435"/>
    </row>
    <row r="14" spans="1:5" ht="13.5" customHeight="1">
      <c r="A14" s="446"/>
      <c r="B14" s="113" t="s">
        <v>420</v>
      </c>
      <c r="C14" s="115"/>
      <c r="D14" s="435"/>
      <c r="E14" s="435"/>
    </row>
    <row r="15" spans="1:5" ht="13.5" customHeight="1">
      <c r="A15" s="446"/>
      <c r="B15" s="113" t="s">
        <v>104</v>
      </c>
      <c r="C15" s="115" t="s">
        <v>425</v>
      </c>
      <c r="D15" s="435"/>
      <c r="E15" s="435"/>
    </row>
    <row r="16" spans="1:5" ht="13.5" customHeight="1">
      <c r="A16" s="446"/>
      <c r="B16" s="113" t="s">
        <v>426</v>
      </c>
      <c r="C16" s="117" t="s">
        <v>427</v>
      </c>
      <c r="D16" s="435" t="s">
        <v>428</v>
      </c>
      <c r="E16" s="435"/>
    </row>
    <row r="17" spans="1:5" ht="13.5" customHeight="1">
      <c r="A17" s="446"/>
      <c r="B17" s="113" t="s">
        <v>420</v>
      </c>
      <c r="C17" s="115"/>
      <c r="D17" s="435"/>
      <c r="E17" s="435"/>
    </row>
    <row r="18" spans="1:5" ht="13.5" customHeight="1">
      <c r="A18" s="446"/>
      <c r="B18" s="113" t="s">
        <v>107</v>
      </c>
      <c r="C18" s="115" t="s">
        <v>429</v>
      </c>
      <c r="D18" s="435"/>
      <c r="E18" s="435"/>
    </row>
    <row r="19" spans="1:5" ht="13.5" customHeight="1">
      <c r="A19" s="446"/>
      <c r="B19" s="113" t="s">
        <v>430</v>
      </c>
      <c r="C19" s="117" t="s">
        <v>431</v>
      </c>
      <c r="D19" s="435" t="s">
        <v>432</v>
      </c>
      <c r="E19" s="435"/>
    </row>
    <row r="20" spans="1:5" ht="13.5" customHeight="1">
      <c r="A20" s="446"/>
      <c r="B20" s="113" t="s">
        <v>420</v>
      </c>
      <c r="C20" s="115"/>
      <c r="D20" s="435"/>
      <c r="E20" s="435"/>
    </row>
    <row r="21" spans="1:5" ht="13.5" customHeight="1">
      <c r="A21" s="446"/>
      <c r="B21" s="113" t="s">
        <v>110</v>
      </c>
      <c r="C21" s="115" t="s">
        <v>433</v>
      </c>
      <c r="D21" s="435"/>
      <c r="E21" s="435"/>
    </row>
    <row r="22" spans="1:5" ht="13.5" customHeight="1">
      <c r="A22" s="446"/>
      <c r="B22" s="113" t="s">
        <v>434</v>
      </c>
      <c r="C22" s="117" t="s">
        <v>435</v>
      </c>
      <c r="D22" s="435" t="s">
        <v>436</v>
      </c>
      <c r="E22" s="435"/>
    </row>
    <row r="23" spans="1:5" ht="13.5" customHeight="1">
      <c r="A23" s="446"/>
      <c r="B23" s="113" t="s">
        <v>420</v>
      </c>
      <c r="C23" s="115"/>
      <c r="D23" s="435"/>
      <c r="E23" s="435"/>
    </row>
    <row r="24" spans="1:5" ht="13.5" customHeight="1">
      <c r="A24" s="446"/>
      <c r="B24" s="113" t="s">
        <v>113</v>
      </c>
      <c r="C24" s="115" t="s">
        <v>437</v>
      </c>
      <c r="D24" s="435"/>
      <c r="E24" s="435"/>
    </row>
    <row r="25" spans="1:5">
      <c r="A25" s="446"/>
      <c r="B25" s="113" t="s">
        <v>438</v>
      </c>
      <c r="C25" s="117" t="s">
        <v>439</v>
      </c>
      <c r="D25" s="435" t="s">
        <v>440</v>
      </c>
      <c r="E25" s="435"/>
    </row>
    <row r="26" spans="1:5">
      <c r="A26" s="446"/>
      <c r="B26" s="113" t="s">
        <v>420</v>
      </c>
      <c r="C26" s="115"/>
      <c r="D26" s="435"/>
      <c r="E26" s="435"/>
    </row>
    <row r="27" spans="1:5">
      <c r="A27" s="446"/>
      <c r="B27" s="113" t="s">
        <v>116</v>
      </c>
      <c r="C27" s="117" t="s">
        <v>441</v>
      </c>
      <c r="D27" s="435"/>
      <c r="E27" s="435"/>
    </row>
  </sheetData>
  <sheetProtection selectLockedCells="1" selectUnlockedCells="1"/>
  <mergeCells count="9">
    <mergeCell ref="A2:E2"/>
    <mergeCell ref="A10:A27"/>
    <mergeCell ref="D10:D12"/>
    <mergeCell ref="E10:E27"/>
    <mergeCell ref="D13:D15"/>
    <mergeCell ref="D16:D18"/>
    <mergeCell ref="D19:D21"/>
    <mergeCell ref="D22:D24"/>
    <mergeCell ref="D25:D27"/>
  </mergeCells>
  <phoneticPr fontId="3"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2:I54"/>
  <sheetViews>
    <sheetView showGridLines="0" topLeftCell="A20" zoomScaleNormal="100" zoomScaleSheetLayoutView="85" zoomScalePageLayoutView="70" workbookViewId="0"/>
  </sheetViews>
  <sheetFormatPr defaultColWidth="9" defaultRowHeight="13.5"/>
  <cols>
    <col min="1" max="1" width="3.140625" style="2" customWidth="1"/>
    <col min="2" max="2" width="20.140625" style="2" customWidth="1"/>
    <col min="3" max="4" width="9.140625" style="2" customWidth="1"/>
    <col min="5" max="5" width="8.140625" style="2" customWidth="1"/>
    <col min="6" max="6" width="28.140625" style="2" bestFit="1" customWidth="1"/>
    <col min="7" max="7" width="26.5703125" style="2" bestFit="1" customWidth="1"/>
    <col min="8" max="8" width="149.42578125" style="2" customWidth="1"/>
    <col min="9" max="9" width="10.42578125" style="2" customWidth="1"/>
    <col min="10" max="10" width="3.140625" style="2" customWidth="1"/>
    <col min="11" max="16384" width="9" style="2"/>
  </cols>
  <sheetData>
    <row r="2" spans="1:9" ht="30">
      <c r="B2" s="437" t="s">
        <v>442</v>
      </c>
      <c r="C2" s="437"/>
      <c r="D2" s="437"/>
      <c r="E2" s="437"/>
      <c r="F2" s="437"/>
      <c r="G2" s="437"/>
      <c r="H2" s="437"/>
      <c r="I2" s="437"/>
    </row>
    <row r="3" spans="1:9" ht="18">
      <c r="A3" s="65"/>
      <c r="B3" s="65" t="s">
        <v>443</v>
      </c>
      <c r="C3" s="64"/>
      <c r="D3" s="64"/>
      <c r="E3" s="64"/>
      <c r="F3" s="64"/>
      <c r="G3" s="64"/>
      <c r="H3" s="64"/>
      <c r="I3" s="64"/>
    </row>
    <row r="4" spans="1:9" ht="18">
      <c r="A4" s="65"/>
      <c r="B4" s="65"/>
      <c r="C4" s="64"/>
      <c r="D4" s="64"/>
      <c r="E4" s="64"/>
      <c r="F4" s="64"/>
      <c r="G4" s="64"/>
      <c r="H4" s="64"/>
      <c r="I4" s="64"/>
    </row>
    <row r="5" spans="1:9" ht="18">
      <c r="A5" s="65"/>
      <c r="B5" s="173" t="s">
        <v>444</v>
      </c>
      <c r="C5" s="64"/>
      <c r="D5" s="64"/>
      <c r="E5" s="64"/>
      <c r="F5" s="64"/>
      <c r="G5" s="64"/>
      <c r="H5" s="64"/>
      <c r="I5" s="64"/>
    </row>
    <row r="6" spans="1:9" ht="18">
      <c r="A6" s="65"/>
      <c r="B6" s="174" t="s">
        <v>445</v>
      </c>
      <c r="C6" s="64"/>
      <c r="D6" s="64"/>
      <c r="E6" s="64"/>
      <c r="F6" s="64"/>
      <c r="G6" s="64"/>
      <c r="H6" s="64"/>
      <c r="I6" s="64"/>
    </row>
    <row r="7" spans="1:9" ht="18.75" thickBot="1">
      <c r="A7" s="65"/>
      <c r="B7" s="174" t="s">
        <v>446</v>
      </c>
      <c r="C7" s="64"/>
      <c r="D7" s="64"/>
      <c r="E7" s="64"/>
      <c r="F7" s="64"/>
      <c r="G7" s="64"/>
      <c r="H7" s="64"/>
      <c r="I7" s="64"/>
    </row>
    <row r="8" spans="1:9" ht="26.25" thickBot="1">
      <c r="B8" s="175" t="s">
        <v>79</v>
      </c>
      <c r="C8" s="70" t="s">
        <v>447</v>
      </c>
      <c r="D8" s="70" t="s">
        <v>122</v>
      </c>
      <c r="E8" s="71" t="s">
        <v>448</v>
      </c>
      <c r="F8" s="71" t="s">
        <v>449</v>
      </c>
      <c r="G8" s="71" t="s">
        <v>50</v>
      </c>
      <c r="H8" s="71" t="s">
        <v>127</v>
      </c>
      <c r="I8" s="176" t="s">
        <v>450</v>
      </c>
    </row>
    <row r="9" spans="1:9" ht="89.25">
      <c r="B9" s="451" t="s">
        <v>451</v>
      </c>
      <c r="C9" s="109">
        <v>40000</v>
      </c>
      <c r="D9" s="109" t="str">
        <f t="shared" ref="D9:D19" si="0">DEC2HEX(C9)</f>
        <v>9C40</v>
      </c>
      <c r="E9" s="109" t="s">
        <v>134</v>
      </c>
      <c r="F9" s="109" t="s">
        <v>452</v>
      </c>
      <c r="G9" s="177" t="s">
        <v>453</v>
      </c>
      <c r="H9" s="178" t="s">
        <v>454</v>
      </c>
      <c r="I9" s="179" t="s">
        <v>132</v>
      </c>
    </row>
    <row r="10" spans="1:9">
      <c r="B10" s="452"/>
      <c r="C10" s="113">
        <f t="shared" ref="C10:C18" si="1">C9+1</f>
        <v>40001</v>
      </c>
      <c r="D10" s="180" t="str">
        <f t="shared" si="0"/>
        <v>9C41</v>
      </c>
      <c r="E10" s="113" t="s">
        <v>134</v>
      </c>
      <c r="F10" s="113" t="s">
        <v>55</v>
      </c>
      <c r="G10" s="181"/>
      <c r="H10" s="182" t="s">
        <v>55</v>
      </c>
      <c r="I10" s="183" t="s">
        <v>132</v>
      </c>
    </row>
    <row r="11" spans="1:9">
      <c r="B11" s="452"/>
      <c r="C11" s="113">
        <f t="shared" si="1"/>
        <v>40002</v>
      </c>
      <c r="D11" s="180" t="str">
        <f t="shared" si="0"/>
        <v>9C42</v>
      </c>
      <c r="E11" s="113" t="s">
        <v>134</v>
      </c>
      <c r="F11" s="113" t="s">
        <v>55</v>
      </c>
      <c r="G11" s="181"/>
      <c r="H11" s="182" t="s">
        <v>55</v>
      </c>
      <c r="I11" s="183" t="s">
        <v>132</v>
      </c>
    </row>
    <row r="12" spans="1:9">
      <c r="B12" s="452"/>
      <c r="C12" s="113">
        <f t="shared" si="1"/>
        <v>40003</v>
      </c>
      <c r="D12" s="180" t="str">
        <f t="shared" si="0"/>
        <v>9C43</v>
      </c>
      <c r="E12" s="113" t="s">
        <v>134</v>
      </c>
      <c r="F12" s="113" t="s">
        <v>55</v>
      </c>
      <c r="G12" s="181"/>
      <c r="H12" s="182" t="s">
        <v>55</v>
      </c>
      <c r="I12" s="183" t="s">
        <v>132</v>
      </c>
    </row>
    <row r="13" spans="1:9">
      <c r="B13" s="452"/>
      <c r="C13" s="113">
        <f t="shared" si="1"/>
        <v>40004</v>
      </c>
      <c r="D13" s="180" t="str">
        <f t="shared" si="0"/>
        <v>9C44</v>
      </c>
      <c r="E13" s="113" t="s">
        <v>134</v>
      </c>
      <c r="F13" s="113" t="s">
        <v>55</v>
      </c>
      <c r="G13" s="181"/>
      <c r="H13" s="182" t="s">
        <v>55</v>
      </c>
      <c r="I13" s="183" t="s">
        <v>132</v>
      </c>
    </row>
    <row r="14" spans="1:9">
      <c r="B14" s="452"/>
      <c r="C14" s="113">
        <f t="shared" si="1"/>
        <v>40005</v>
      </c>
      <c r="D14" s="180" t="str">
        <f t="shared" si="0"/>
        <v>9C45</v>
      </c>
      <c r="E14" s="113" t="s">
        <v>134</v>
      </c>
      <c r="F14" s="113" t="s">
        <v>55</v>
      </c>
      <c r="G14" s="181"/>
      <c r="H14" s="182" t="s">
        <v>55</v>
      </c>
      <c r="I14" s="183" t="s">
        <v>132</v>
      </c>
    </row>
    <row r="15" spans="1:9" ht="13.5" customHeight="1">
      <c r="B15" s="452"/>
      <c r="C15" s="113">
        <f t="shared" si="1"/>
        <v>40006</v>
      </c>
      <c r="D15" s="180" t="str">
        <f t="shared" si="0"/>
        <v>9C46</v>
      </c>
      <c r="E15" s="113" t="s">
        <v>134</v>
      </c>
      <c r="F15" s="113" t="s">
        <v>55</v>
      </c>
      <c r="G15" s="181"/>
      <c r="H15" s="182" t="s">
        <v>55</v>
      </c>
      <c r="I15" s="183" t="s">
        <v>132</v>
      </c>
    </row>
    <row r="16" spans="1:9" ht="13.5" customHeight="1">
      <c r="B16" s="452"/>
      <c r="C16" s="113">
        <f t="shared" si="1"/>
        <v>40007</v>
      </c>
      <c r="D16" s="180" t="str">
        <f t="shared" si="0"/>
        <v>9C47</v>
      </c>
      <c r="E16" s="113" t="s">
        <v>134</v>
      </c>
      <c r="F16" s="113" t="s">
        <v>55</v>
      </c>
      <c r="G16" s="181"/>
      <c r="H16" s="117" t="s">
        <v>55</v>
      </c>
      <c r="I16" s="183" t="s">
        <v>132</v>
      </c>
    </row>
    <row r="17" spans="2:9" ht="13.5" customHeight="1">
      <c r="B17" s="452"/>
      <c r="C17" s="113">
        <f t="shared" si="1"/>
        <v>40008</v>
      </c>
      <c r="D17" s="180" t="str">
        <f t="shared" si="0"/>
        <v>9C48</v>
      </c>
      <c r="E17" s="113" t="s">
        <v>134</v>
      </c>
      <c r="F17" s="113" t="s">
        <v>55</v>
      </c>
      <c r="G17" s="181"/>
      <c r="H17" s="117" t="s">
        <v>55</v>
      </c>
      <c r="I17" s="183" t="s">
        <v>132</v>
      </c>
    </row>
    <row r="18" spans="2:9" ht="13.5" customHeight="1">
      <c r="B18" s="452"/>
      <c r="C18" s="131">
        <f t="shared" si="1"/>
        <v>40009</v>
      </c>
      <c r="D18" s="184" t="str">
        <f t="shared" si="0"/>
        <v>9C49</v>
      </c>
      <c r="E18" s="131" t="s">
        <v>134</v>
      </c>
      <c r="F18" s="131" t="s">
        <v>55</v>
      </c>
      <c r="G18" s="185"/>
      <c r="H18" s="143" t="s">
        <v>55</v>
      </c>
      <c r="I18" s="186" t="s">
        <v>132</v>
      </c>
    </row>
    <row r="19" spans="2:9" ht="13.5" customHeight="1">
      <c r="B19" s="452"/>
      <c r="C19" s="429">
        <f>C18+1</f>
        <v>40010</v>
      </c>
      <c r="D19" s="455" t="str">
        <f t="shared" si="0"/>
        <v>9C4A</v>
      </c>
      <c r="E19" s="429" t="s">
        <v>134</v>
      </c>
      <c r="F19" s="429" t="s">
        <v>455</v>
      </c>
      <c r="G19" s="181" t="s">
        <v>141</v>
      </c>
      <c r="H19" s="187" t="s">
        <v>143</v>
      </c>
      <c r="I19" s="457" t="s">
        <v>456</v>
      </c>
    </row>
    <row r="20" spans="2:9" ht="25.5" customHeight="1">
      <c r="B20" s="452"/>
      <c r="C20" s="429"/>
      <c r="D20" s="455"/>
      <c r="E20" s="429"/>
      <c r="F20" s="429"/>
      <c r="G20" s="181" t="s">
        <v>457</v>
      </c>
      <c r="H20" s="187" t="s">
        <v>458</v>
      </c>
      <c r="I20" s="457"/>
    </row>
    <row r="21" spans="2:9" ht="51">
      <c r="B21" s="452"/>
      <c r="C21" s="429"/>
      <c r="D21" s="455"/>
      <c r="E21" s="429"/>
      <c r="F21" s="429"/>
      <c r="G21" s="181" t="s">
        <v>459</v>
      </c>
      <c r="H21" s="188" t="s">
        <v>460</v>
      </c>
      <c r="I21" s="457"/>
    </row>
    <row r="22" spans="2:9" ht="25.5" customHeight="1">
      <c r="B22" s="452"/>
      <c r="C22" s="429"/>
      <c r="D22" s="455"/>
      <c r="E22" s="429"/>
      <c r="F22" s="429"/>
      <c r="G22" s="181" t="s">
        <v>461</v>
      </c>
      <c r="H22" s="189" t="s">
        <v>462</v>
      </c>
      <c r="I22" s="457"/>
    </row>
    <row r="23" spans="2:9" ht="25.5">
      <c r="B23" s="452"/>
      <c r="C23" s="429"/>
      <c r="D23" s="455"/>
      <c r="E23" s="429"/>
      <c r="F23" s="429"/>
      <c r="G23" s="190" t="s">
        <v>463</v>
      </c>
      <c r="H23" s="187" t="s">
        <v>464</v>
      </c>
      <c r="I23" s="457"/>
    </row>
    <row r="24" spans="2:9" ht="51">
      <c r="B24" s="452"/>
      <c r="C24" s="429"/>
      <c r="D24" s="455"/>
      <c r="E24" s="429"/>
      <c r="F24" s="429"/>
      <c r="G24" s="190" t="s">
        <v>465</v>
      </c>
      <c r="H24" s="191" t="s">
        <v>466</v>
      </c>
      <c r="I24" s="457"/>
    </row>
    <row r="25" spans="2:9" ht="38.25">
      <c r="B25" s="452"/>
      <c r="C25" s="429"/>
      <c r="D25" s="455"/>
      <c r="E25" s="429"/>
      <c r="F25" s="429"/>
      <c r="G25" s="181" t="s">
        <v>467</v>
      </c>
      <c r="H25" s="192" t="s">
        <v>468</v>
      </c>
      <c r="I25" s="457"/>
    </row>
    <row r="26" spans="2:9" ht="38.25">
      <c r="B26" s="452"/>
      <c r="C26" s="429"/>
      <c r="D26" s="455"/>
      <c r="E26" s="429"/>
      <c r="F26" s="429"/>
      <c r="G26" s="181" t="s">
        <v>469</v>
      </c>
      <c r="H26" s="192" t="s">
        <v>470</v>
      </c>
      <c r="I26" s="457"/>
    </row>
    <row r="27" spans="2:9">
      <c r="B27" s="452"/>
      <c r="C27" s="429"/>
      <c r="D27" s="455"/>
      <c r="E27" s="429"/>
      <c r="F27" s="429"/>
      <c r="G27" s="181" t="s">
        <v>471</v>
      </c>
      <c r="H27" s="192" t="s">
        <v>55</v>
      </c>
      <c r="I27" s="457"/>
    </row>
    <row r="28" spans="2:9" ht="25.5">
      <c r="B28" s="452"/>
      <c r="C28" s="429"/>
      <c r="D28" s="455"/>
      <c r="E28" s="429"/>
      <c r="F28" s="429"/>
      <c r="G28" s="190" t="s">
        <v>472</v>
      </c>
      <c r="H28" s="193" t="s">
        <v>473</v>
      </c>
      <c r="I28" s="457"/>
    </row>
    <row r="29" spans="2:9" ht="38.25">
      <c r="B29" s="452"/>
      <c r="C29" s="429"/>
      <c r="D29" s="455"/>
      <c r="E29" s="429"/>
      <c r="F29" s="429"/>
      <c r="G29" s="181" t="s">
        <v>474</v>
      </c>
      <c r="H29" s="194" t="s">
        <v>475</v>
      </c>
      <c r="I29" s="457"/>
    </row>
    <row r="30" spans="2:9">
      <c r="B30" s="452"/>
      <c r="C30" s="429"/>
      <c r="D30" s="455"/>
      <c r="E30" s="429"/>
      <c r="F30" s="429"/>
      <c r="G30" s="195" t="s">
        <v>476</v>
      </c>
      <c r="H30" s="196"/>
      <c r="I30" s="457"/>
    </row>
    <row r="31" spans="2:9" ht="14.25" customHeight="1" thickBot="1">
      <c r="B31" s="453"/>
      <c r="C31" s="454"/>
      <c r="D31" s="456"/>
      <c r="E31" s="454"/>
      <c r="F31" s="454"/>
      <c r="G31" s="197" t="s">
        <v>477</v>
      </c>
      <c r="H31" s="198"/>
      <c r="I31" s="458"/>
    </row>
    <row r="32" spans="2:9" ht="14.25" customHeight="1">
      <c r="B32" s="199"/>
      <c r="C32" s="66"/>
      <c r="D32" s="200"/>
      <c r="E32" s="66"/>
      <c r="F32" s="66"/>
      <c r="G32" s="201"/>
      <c r="H32" s="202"/>
      <c r="I32" s="203"/>
    </row>
    <row r="33" spans="1:9" ht="18.75" thickBot="1">
      <c r="A33" s="64"/>
      <c r="B33" s="173" t="s">
        <v>478</v>
      </c>
      <c r="C33" s="64"/>
      <c r="D33" s="64"/>
      <c r="E33" s="64"/>
      <c r="F33" s="64"/>
      <c r="G33" s="66"/>
    </row>
    <row r="34" spans="1:9" ht="26.25" thickBot="1">
      <c r="B34" s="204" t="s">
        <v>79</v>
      </c>
      <c r="C34" s="205" t="s">
        <v>121</v>
      </c>
      <c r="D34" s="205" t="s">
        <v>122</v>
      </c>
      <c r="E34" s="206" t="s">
        <v>123</v>
      </c>
      <c r="F34" s="206" t="s">
        <v>124</v>
      </c>
      <c r="G34" s="206" t="s">
        <v>50</v>
      </c>
      <c r="H34" s="206" t="s">
        <v>52</v>
      </c>
      <c r="I34" s="207" t="s">
        <v>125</v>
      </c>
    </row>
    <row r="35" spans="1:9">
      <c r="B35" s="447" t="s">
        <v>479</v>
      </c>
      <c r="C35" s="109">
        <v>40011</v>
      </c>
      <c r="D35" s="109" t="str">
        <f t="shared" ref="D35:D43" si="2">DEC2HEX(C35)</f>
        <v>9C4B</v>
      </c>
      <c r="E35" s="426" t="s">
        <v>134</v>
      </c>
      <c r="F35" s="426" t="s">
        <v>480</v>
      </c>
      <c r="G35" s="109" t="s">
        <v>481</v>
      </c>
      <c r="H35" s="132" t="s">
        <v>482</v>
      </c>
      <c r="I35" s="208" t="s">
        <v>483</v>
      </c>
    </row>
    <row r="36" spans="1:9">
      <c r="B36" s="448"/>
      <c r="C36" s="113">
        <f t="shared" ref="C36:C41" si="3">C35+1</f>
        <v>40012</v>
      </c>
      <c r="D36" s="113" t="str">
        <f t="shared" si="2"/>
        <v>9C4C</v>
      </c>
      <c r="E36" s="415"/>
      <c r="F36" s="415"/>
      <c r="G36" s="113" t="s">
        <v>484</v>
      </c>
      <c r="H36" s="117" t="s">
        <v>485</v>
      </c>
      <c r="I36" s="209" t="s">
        <v>483</v>
      </c>
    </row>
    <row r="37" spans="1:9">
      <c r="B37" s="448"/>
      <c r="C37" s="113">
        <f t="shared" si="3"/>
        <v>40013</v>
      </c>
      <c r="D37" s="113" t="str">
        <f t="shared" si="2"/>
        <v>9C4D</v>
      </c>
      <c r="E37" s="415"/>
      <c r="F37" s="415"/>
      <c r="G37" s="113" t="s">
        <v>486</v>
      </c>
      <c r="H37" s="117" t="s">
        <v>487</v>
      </c>
      <c r="I37" s="209" t="s">
        <v>483</v>
      </c>
    </row>
    <row r="38" spans="1:9">
      <c r="B38" s="448"/>
      <c r="C38" s="113">
        <f t="shared" si="3"/>
        <v>40014</v>
      </c>
      <c r="D38" s="113" t="str">
        <f t="shared" si="2"/>
        <v>9C4E</v>
      </c>
      <c r="E38" s="415"/>
      <c r="F38" s="415"/>
      <c r="G38" s="113" t="s">
        <v>488</v>
      </c>
      <c r="H38" s="117" t="s">
        <v>489</v>
      </c>
      <c r="I38" s="209" t="s">
        <v>483</v>
      </c>
    </row>
    <row r="39" spans="1:9">
      <c r="B39" s="448"/>
      <c r="C39" s="113">
        <f t="shared" si="3"/>
        <v>40015</v>
      </c>
      <c r="D39" s="113" t="str">
        <f t="shared" si="2"/>
        <v>9C4F</v>
      </c>
      <c r="E39" s="415"/>
      <c r="F39" s="415"/>
      <c r="G39" s="113" t="s">
        <v>490</v>
      </c>
      <c r="H39" s="117" t="s">
        <v>491</v>
      </c>
      <c r="I39" s="209" t="s">
        <v>483</v>
      </c>
    </row>
    <row r="40" spans="1:9">
      <c r="B40" s="448"/>
      <c r="C40" s="113">
        <f t="shared" si="3"/>
        <v>40016</v>
      </c>
      <c r="D40" s="113" t="str">
        <f>DEC2HEX(C40)</f>
        <v>9C50</v>
      </c>
      <c r="E40" s="415"/>
      <c r="F40" s="415"/>
      <c r="G40" s="113" t="s">
        <v>492</v>
      </c>
      <c r="H40" s="117" t="s">
        <v>493</v>
      </c>
      <c r="I40" s="209" t="s">
        <v>483</v>
      </c>
    </row>
    <row r="41" spans="1:9">
      <c r="B41" s="448"/>
      <c r="C41" s="113">
        <f t="shared" si="3"/>
        <v>40017</v>
      </c>
      <c r="D41" s="113" t="str">
        <f t="shared" si="2"/>
        <v>9C51</v>
      </c>
      <c r="E41" s="415"/>
      <c r="F41" s="415"/>
      <c r="G41" s="113" t="s">
        <v>494</v>
      </c>
      <c r="H41" s="117" t="s">
        <v>495</v>
      </c>
      <c r="I41" s="209" t="s">
        <v>483</v>
      </c>
    </row>
    <row r="42" spans="1:9">
      <c r="B42" s="448"/>
      <c r="C42" s="113">
        <f>C39+3</f>
        <v>40018</v>
      </c>
      <c r="D42" s="113" t="str">
        <f>DEC2HEX(C42)</f>
        <v>9C52</v>
      </c>
      <c r="E42" s="415"/>
      <c r="F42" s="415"/>
      <c r="G42" s="113" t="s">
        <v>55</v>
      </c>
      <c r="H42" s="117" t="s">
        <v>55</v>
      </c>
      <c r="I42" s="209" t="s">
        <v>483</v>
      </c>
    </row>
    <row r="43" spans="1:9" ht="14.25" thickBot="1">
      <c r="B43" s="449"/>
      <c r="C43" s="126">
        <f>C42+1</f>
        <v>40019</v>
      </c>
      <c r="D43" s="126" t="str">
        <f t="shared" si="2"/>
        <v>9C53</v>
      </c>
      <c r="E43" s="450"/>
      <c r="F43" s="450"/>
      <c r="G43" s="126" t="s">
        <v>55</v>
      </c>
      <c r="H43" s="127" t="s">
        <v>55</v>
      </c>
      <c r="I43" s="210" t="s">
        <v>483</v>
      </c>
    </row>
    <row r="44" spans="1:9" ht="14.25" thickBot="1"/>
    <row r="45" spans="1:9" ht="26.25" thickBot="1">
      <c r="B45" s="175" t="s">
        <v>79</v>
      </c>
      <c r="C45" s="70" t="s">
        <v>121</v>
      </c>
      <c r="D45" s="70" t="s">
        <v>122</v>
      </c>
      <c r="E45" s="71" t="s">
        <v>123</v>
      </c>
      <c r="F45" s="71" t="s">
        <v>124</v>
      </c>
      <c r="G45" s="71" t="s">
        <v>50</v>
      </c>
      <c r="H45" s="71" t="s">
        <v>52</v>
      </c>
      <c r="I45" s="176" t="s">
        <v>125</v>
      </c>
    </row>
    <row r="46" spans="1:9" ht="25.5">
      <c r="B46" s="447" t="s">
        <v>496</v>
      </c>
      <c r="C46" s="109">
        <v>40020</v>
      </c>
      <c r="D46" s="109" t="str">
        <f t="shared" ref="D46:D54" si="4">DEC2HEX(C46)</f>
        <v>9C54</v>
      </c>
      <c r="E46" s="109" t="s">
        <v>134</v>
      </c>
      <c r="F46" s="109" t="s">
        <v>497</v>
      </c>
      <c r="G46" s="109" t="s">
        <v>481</v>
      </c>
      <c r="H46" s="211" t="s">
        <v>498</v>
      </c>
      <c r="I46" s="208" t="s">
        <v>483</v>
      </c>
    </row>
    <row r="47" spans="1:9">
      <c r="B47" s="448"/>
      <c r="C47" s="113">
        <f t="shared" ref="C47:C52" si="5">C46+1</f>
        <v>40021</v>
      </c>
      <c r="D47" s="113" t="str">
        <f t="shared" si="4"/>
        <v>9C55</v>
      </c>
      <c r="E47" s="113" t="s">
        <v>134</v>
      </c>
      <c r="F47" s="113" t="s">
        <v>497</v>
      </c>
      <c r="G47" s="113" t="s">
        <v>484</v>
      </c>
      <c r="H47" s="212" t="s">
        <v>485</v>
      </c>
      <c r="I47" s="209" t="s">
        <v>483</v>
      </c>
    </row>
    <row r="48" spans="1:9">
      <c r="B48" s="448"/>
      <c r="C48" s="113">
        <f t="shared" si="5"/>
        <v>40022</v>
      </c>
      <c r="D48" s="113" t="str">
        <f t="shared" si="4"/>
        <v>9C56</v>
      </c>
      <c r="E48" s="113" t="s">
        <v>134</v>
      </c>
      <c r="F48" s="113" t="s">
        <v>497</v>
      </c>
      <c r="G48" s="113" t="s">
        <v>486</v>
      </c>
      <c r="H48" s="212" t="s">
        <v>487</v>
      </c>
      <c r="I48" s="209" t="s">
        <v>483</v>
      </c>
    </row>
    <row r="49" spans="2:9">
      <c r="B49" s="448"/>
      <c r="C49" s="113">
        <f t="shared" si="5"/>
        <v>40023</v>
      </c>
      <c r="D49" s="113" t="str">
        <f t="shared" si="4"/>
        <v>9C57</v>
      </c>
      <c r="E49" s="113" t="s">
        <v>134</v>
      </c>
      <c r="F49" s="113" t="s">
        <v>497</v>
      </c>
      <c r="G49" s="113" t="s">
        <v>488</v>
      </c>
      <c r="H49" s="212" t="s">
        <v>499</v>
      </c>
      <c r="I49" s="209" t="s">
        <v>483</v>
      </c>
    </row>
    <row r="50" spans="2:9">
      <c r="B50" s="448"/>
      <c r="C50" s="113">
        <f t="shared" si="5"/>
        <v>40024</v>
      </c>
      <c r="D50" s="113" t="str">
        <f t="shared" si="4"/>
        <v>9C58</v>
      </c>
      <c r="E50" s="113" t="s">
        <v>134</v>
      </c>
      <c r="F50" s="113" t="s">
        <v>497</v>
      </c>
      <c r="G50" s="113" t="s">
        <v>490</v>
      </c>
      <c r="H50" s="212" t="s">
        <v>500</v>
      </c>
      <c r="I50" s="209"/>
    </row>
    <row r="51" spans="2:9">
      <c r="B51" s="448"/>
      <c r="C51" s="113">
        <f t="shared" si="5"/>
        <v>40025</v>
      </c>
      <c r="D51" s="113" t="str">
        <f t="shared" si="4"/>
        <v>9C59</v>
      </c>
      <c r="E51" s="113" t="s">
        <v>134</v>
      </c>
      <c r="F51" s="113" t="s">
        <v>497</v>
      </c>
      <c r="G51" s="113" t="s">
        <v>492</v>
      </c>
      <c r="H51" s="117" t="s">
        <v>493</v>
      </c>
      <c r="I51" s="209"/>
    </row>
    <row r="52" spans="2:9">
      <c r="B52" s="448"/>
      <c r="C52" s="113">
        <f t="shared" si="5"/>
        <v>40026</v>
      </c>
      <c r="D52" s="113" t="str">
        <f t="shared" si="4"/>
        <v>9C5A</v>
      </c>
      <c r="E52" s="113" t="s">
        <v>134</v>
      </c>
      <c r="F52" s="113" t="s">
        <v>497</v>
      </c>
      <c r="G52" s="113" t="s">
        <v>494</v>
      </c>
      <c r="H52" s="117" t="s">
        <v>495</v>
      </c>
      <c r="I52" s="209"/>
    </row>
    <row r="53" spans="2:9">
      <c r="B53" s="448"/>
      <c r="C53" s="113">
        <f>C50+3</f>
        <v>40027</v>
      </c>
      <c r="D53" s="113" t="str">
        <f>DEC2HEX(C53)</f>
        <v>9C5B</v>
      </c>
      <c r="E53" s="113" t="s">
        <v>134</v>
      </c>
      <c r="F53" s="113" t="s">
        <v>497</v>
      </c>
      <c r="G53" s="113" t="s">
        <v>55</v>
      </c>
      <c r="H53" s="117" t="s">
        <v>55</v>
      </c>
      <c r="I53" s="209"/>
    </row>
    <row r="54" spans="2:9" ht="14.25" thickBot="1">
      <c r="B54" s="449"/>
      <c r="C54" s="126">
        <f>C53+1</f>
        <v>40028</v>
      </c>
      <c r="D54" s="126" t="str">
        <f t="shared" si="4"/>
        <v>9C5C</v>
      </c>
      <c r="E54" s="126" t="s">
        <v>134</v>
      </c>
      <c r="F54" s="126" t="s">
        <v>497</v>
      </c>
      <c r="G54" s="126" t="s">
        <v>55</v>
      </c>
      <c r="H54" s="213" t="s">
        <v>501</v>
      </c>
      <c r="I54" s="210" t="s">
        <v>483</v>
      </c>
    </row>
  </sheetData>
  <mergeCells count="11">
    <mergeCell ref="B35:B43"/>
    <mergeCell ref="E35:E43"/>
    <mergeCell ref="F35:F43"/>
    <mergeCell ref="B46:B54"/>
    <mergeCell ref="B2:I2"/>
    <mergeCell ref="B9:B31"/>
    <mergeCell ref="C19:C31"/>
    <mergeCell ref="D19:D31"/>
    <mergeCell ref="E19:E31"/>
    <mergeCell ref="F19:F31"/>
    <mergeCell ref="I19:I31"/>
  </mergeCells>
  <phoneticPr fontId="3" type="noConversion"/>
  <pageMargins left="0.25" right="0.25" top="0.75" bottom="0.75" header="0.3" footer="0.3"/>
  <pageSetup paperSize="9" scale="32" fitToHeight="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P180"/>
  <sheetViews>
    <sheetView topLeftCell="A144" zoomScale="85" zoomScaleNormal="85" workbookViewId="0"/>
  </sheetViews>
  <sheetFormatPr defaultColWidth="9" defaultRowHeight="13.5"/>
  <cols>
    <col min="1" max="1" width="3.42578125" style="2" customWidth="1"/>
    <col min="2" max="2" width="42.140625" style="2" bestFit="1" customWidth="1"/>
    <col min="3" max="3" width="8.28515625" style="2" bestFit="1" customWidth="1"/>
    <col min="4" max="4" width="7.42578125" style="2" bestFit="1" customWidth="1"/>
    <col min="5" max="5" width="4.28515625" style="2" customWidth="1"/>
    <col min="6" max="6" width="38.85546875" style="2" bestFit="1" customWidth="1"/>
    <col min="7" max="7" width="8.28515625" style="2" bestFit="1" customWidth="1"/>
    <col min="8" max="8" width="7.42578125" style="2" bestFit="1" customWidth="1"/>
    <col min="9" max="9" width="12.140625" style="2" customWidth="1"/>
    <col min="10" max="10" width="50.42578125" style="2" bestFit="1" customWidth="1"/>
    <col min="11" max="11" width="8.28515625" style="2" bestFit="1" customWidth="1"/>
    <col min="12" max="12" width="7.42578125" style="2" bestFit="1" customWidth="1"/>
    <col min="13" max="13" width="4.28515625" style="2" customWidth="1"/>
    <col min="14" max="14" width="39.85546875" style="2" bestFit="1" customWidth="1"/>
    <col min="15" max="15" width="8.28515625" style="2" bestFit="1" customWidth="1"/>
    <col min="16" max="16" width="7.42578125" style="2" bestFit="1" customWidth="1"/>
    <col min="17" max="16384" width="9" style="2"/>
  </cols>
  <sheetData>
    <row r="1" spans="2:16" ht="15">
      <c r="B1" s="459"/>
      <c r="C1" s="459"/>
      <c r="D1" s="459"/>
      <c r="E1" s="459"/>
      <c r="F1" s="459"/>
      <c r="G1" s="459"/>
      <c r="H1" s="459"/>
      <c r="J1" s="214"/>
    </row>
    <row r="2" spans="2:16" ht="20.25">
      <c r="B2" s="460" t="s">
        <v>502</v>
      </c>
      <c r="C2" s="460"/>
      <c r="D2" s="460"/>
      <c r="E2" s="460"/>
      <c r="F2" s="460"/>
      <c r="G2" s="460"/>
      <c r="H2" s="460"/>
      <c r="J2" s="461" t="s">
        <v>503</v>
      </c>
      <c r="K2" s="461"/>
      <c r="L2" s="461"/>
      <c r="M2" s="461"/>
      <c r="N2" s="461"/>
      <c r="O2" s="461"/>
      <c r="P2" s="461"/>
    </row>
    <row r="3" spans="2:16" ht="20.25">
      <c r="B3" s="215"/>
      <c r="C3" s="215"/>
      <c r="D3" s="215"/>
      <c r="E3" s="215"/>
      <c r="F3" s="215"/>
      <c r="G3" s="215"/>
      <c r="H3" s="215"/>
      <c r="J3" s="216"/>
      <c r="K3" s="216"/>
      <c r="L3" s="216"/>
      <c r="M3" s="216"/>
      <c r="N3" s="216"/>
      <c r="O3" s="216"/>
      <c r="P3" s="216"/>
    </row>
    <row r="4" spans="2:16" ht="15">
      <c r="B4" s="217" t="s">
        <v>504</v>
      </c>
      <c r="C4" s="64"/>
      <c r="D4" s="64"/>
      <c r="E4" s="64"/>
      <c r="F4" s="64"/>
      <c r="G4" s="64"/>
      <c r="H4" s="64"/>
      <c r="J4" s="217" t="s">
        <v>504</v>
      </c>
      <c r="K4" s="64"/>
      <c r="L4" s="64"/>
      <c r="M4" s="64"/>
      <c r="N4" s="64"/>
      <c r="O4" s="64"/>
      <c r="P4" s="64"/>
    </row>
    <row r="5" spans="2:16" ht="14.25">
      <c r="B5" s="218" t="s">
        <v>505</v>
      </c>
      <c r="C5" s="218" t="s">
        <v>506</v>
      </c>
      <c r="D5" s="218" t="s">
        <v>507</v>
      </c>
      <c r="E5" s="219"/>
      <c r="F5" s="218" t="s">
        <v>85</v>
      </c>
      <c r="G5" s="218" t="s">
        <v>506</v>
      </c>
      <c r="H5" s="218" t="s">
        <v>507</v>
      </c>
      <c r="J5" s="218" t="s">
        <v>505</v>
      </c>
      <c r="K5" s="218" t="s">
        <v>506</v>
      </c>
      <c r="L5" s="218" t="s">
        <v>507</v>
      </c>
      <c r="M5" s="219"/>
      <c r="N5" s="218" t="s">
        <v>85</v>
      </c>
      <c r="O5" s="218" t="s">
        <v>506</v>
      </c>
      <c r="P5" s="218" t="s">
        <v>507</v>
      </c>
    </row>
    <row r="6" spans="2:16" ht="14.25">
      <c r="B6" s="220"/>
      <c r="C6" s="221"/>
      <c r="D6" s="221"/>
      <c r="E6" s="219"/>
      <c r="F6" s="220" t="s">
        <v>508</v>
      </c>
      <c r="G6" s="221">
        <f>'[1]C2B(Controller Data)'!$I$19</f>
        <v>40010</v>
      </c>
      <c r="H6" s="222" t="s">
        <v>509</v>
      </c>
      <c r="J6" s="220"/>
      <c r="K6" s="221"/>
      <c r="L6" s="221"/>
      <c r="M6" s="219"/>
      <c r="N6" s="220" t="s">
        <v>508</v>
      </c>
      <c r="O6" s="221">
        <f>'[1]C2B(Controller Data)'!$I$19</f>
        <v>40010</v>
      </c>
      <c r="P6" s="222" t="s">
        <v>509</v>
      </c>
    </row>
    <row r="7" spans="2:16" ht="14.25">
      <c r="B7" s="220" t="s">
        <v>510</v>
      </c>
      <c r="C7" s="221">
        <f>'[1]B2C(BSC Data)'!$I$38</f>
        <v>30030</v>
      </c>
      <c r="D7" s="223" t="s">
        <v>509</v>
      </c>
      <c r="E7" s="219"/>
      <c r="F7" s="220"/>
      <c r="G7" s="221"/>
      <c r="H7" s="221"/>
      <c r="J7" s="220" t="s">
        <v>511</v>
      </c>
      <c r="K7" s="221">
        <f>'[1]B2C(BSC Data)'!$I$38</f>
        <v>30030</v>
      </c>
      <c r="L7" s="224" t="s">
        <v>512</v>
      </c>
      <c r="M7" s="219"/>
      <c r="N7" s="220"/>
      <c r="O7" s="221"/>
      <c r="P7" s="221"/>
    </row>
    <row r="8" spans="2:16" ht="14.25">
      <c r="B8" s="220" t="s">
        <v>513</v>
      </c>
      <c r="C8" s="221">
        <f>'[1]B2C(BSC Data)'!$I$63</f>
        <v>30031</v>
      </c>
      <c r="D8" s="222" t="s">
        <v>509</v>
      </c>
      <c r="E8" s="219"/>
      <c r="F8" s="220"/>
      <c r="G8" s="221"/>
      <c r="H8" s="221"/>
      <c r="J8" s="220" t="s">
        <v>514</v>
      </c>
      <c r="K8" s="221"/>
      <c r="L8" s="221"/>
      <c r="M8" s="219"/>
      <c r="N8" s="220" t="s">
        <v>515</v>
      </c>
      <c r="O8" s="221">
        <f>'[1]C2B(Controller Data)'!$I$19</f>
        <v>40010</v>
      </c>
      <c r="P8" s="221" t="s">
        <v>516</v>
      </c>
    </row>
    <row r="9" spans="2:16" ht="14.25">
      <c r="B9" s="221" t="s">
        <v>420</v>
      </c>
      <c r="C9" s="221"/>
      <c r="D9" s="221"/>
      <c r="E9" s="219"/>
      <c r="F9" s="220" t="s">
        <v>515</v>
      </c>
      <c r="G9" s="221">
        <f>'[1]C2B(Controller Data)'!$I$19</f>
        <v>40010</v>
      </c>
      <c r="H9" s="221" t="s">
        <v>516</v>
      </c>
      <c r="J9" s="221"/>
      <c r="K9" s="221"/>
      <c r="L9" s="221"/>
      <c r="M9" s="219"/>
      <c r="N9" s="220"/>
      <c r="O9" s="221"/>
      <c r="P9" s="221"/>
    </row>
    <row r="10" spans="2:16" ht="14.25">
      <c r="B10" s="220" t="s">
        <v>517</v>
      </c>
      <c r="C10" s="221">
        <f>'[1]B2C(BSC Data)'!$I$68</f>
        <v>30036</v>
      </c>
      <c r="D10" s="221" t="s">
        <v>518</v>
      </c>
      <c r="E10" s="219"/>
      <c r="F10" s="220"/>
      <c r="G10" s="221"/>
      <c r="H10" s="221"/>
      <c r="J10" s="220"/>
      <c r="K10" s="221"/>
      <c r="L10" s="221"/>
      <c r="M10" s="219"/>
      <c r="N10" s="220"/>
      <c r="O10" s="221"/>
      <c r="P10" s="221"/>
    </row>
    <row r="11" spans="2:16" ht="14.25">
      <c r="B11" s="220" t="s">
        <v>519</v>
      </c>
      <c r="C11" s="221">
        <f>'[1]B2C(BSC Data)'!$I$38</f>
        <v>30030</v>
      </c>
      <c r="D11" s="221" t="s">
        <v>520</v>
      </c>
      <c r="E11" s="219"/>
      <c r="F11" s="220"/>
      <c r="G11" s="221"/>
      <c r="H11" s="221"/>
      <c r="J11" s="220"/>
      <c r="K11" s="221"/>
      <c r="L11" s="221"/>
      <c r="M11" s="219"/>
      <c r="N11" s="220"/>
      <c r="O11" s="221"/>
      <c r="P11" s="221"/>
    </row>
    <row r="12" spans="2:16" ht="14.25">
      <c r="B12" s="221" t="s">
        <v>420</v>
      </c>
      <c r="C12" s="221"/>
      <c r="D12" s="221"/>
      <c r="E12" s="219"/>
      <c r="F12" s="220"/>
      <c r="G12" s="221"/>
      <c r="H12" s="221"/>
      <c r="J12" s="221"/>
      <c r="K12" s="221"/>
      <c r="L12" s="221"/>
      <c r="M12" s="219"/>
      <c r="N12" s="220"/>
      <c r="O12" s="221"/>
      <c r="P12" s="221"/>
    </row>
    <row r="13" spans="2:16" ht="14.25">
      <c r="B13" s="220" t="s">
        <v>521</v>
      </c>
      <c r="C13" s="221">
        <f>'[1]B2C(BSC Data)'!$I$38</f>
        <v>30030</v>
      </c>
      <c r="D13" s="221" t="s">
        <v>516</v>
      </c>
      <c r="E13" s="219"/>
      <c r="F13" s="220"/>
      <c r="G13" s="221"/>
      <c r="H13" s="221"/>
      <c r="J13" s="220"/>
      <c r="K13" s="221"/>
      <c r="L13" s="221"/>
      <c r="M13" s="219"/>
      <c r="N13" s="220"/>
      <c r="O13" s="221"/>
      <c r="P13" s="221"/>
    </row>
    <row r="14" spans="2:16" ht="14.25">
      <c r="B14" s="220" t="s">
        <v>187</v>
      </c>
      <c r="C14" s="221">
        <f>'[1]B2C(BSC Data)'!$I$63</f>
        <v>30031</v>
      </c>
      <c r="D14" s="221" t="s">
        <v>516</v>
      </c>
      <c r="E14" s="219"/>
      <c r="F14" s="220"/>
      <c r="G14" s="221"/>
      <c r="H14" s="221"/>
      <c r="J14" s="220"/>
      <c r="K14" s="221"/>
      <c r="L14" s="221"/>
      <c r="M14" s="219"/>
      <c r="N14" s="220"/>
      <c r="O14" s="221"/>
      <c r="P14" s="221"/>
    </row>
    <row r="18" spans="2:16" ht="15">
      <c r="B18" s="217" t="s">
        <v>80</v>
      </c>
      <c r="C18" s="64"/>
      <c r="D18" s="64"/>
      <c r="E18" s="64"/>
      <c r="F18" s="64"/>
      <c r="G18" s="64"/>
      <c r="H18" s="64"/>
      <c r="J18" s="217" t="s">
        <v>80</v>
      </c>
      <c r="K18" s="64"/>
      <c r="L18" s="64"/>
      <c r="M18" s="64"/>
      <c r="N18" s="64"/>
      <c r="O18" s="64"/>
      <c r="P18" s="64"/>
    </row>
    <row r="19" spans="2:16" ht="14.25">
      <c r="B19" s="218" t="s">
        <v>505</v>
      </c>
      <c r="C19" s="218" t="s">
        <v>506</v>
      </c>
      <c r="D19" s="218" t="s">
        <v>507</v>
      </c>
      <c r="E19" s="219"/>
      <c r="F19" s="218" t="s">
        <v>85</v>
      </c>
      <c r="G19" s="218" t="s">
        <v>506</v>
      </c>
      <c r="H19" s="218" t="s">
        <v>507</v>
      </c>
      <c r="J19" s="218" t="s">
        <v>505</v>
      </c>
      <c r="K19" s="218" t="s">
        <v>506</v>
      </c>
      <c r="L19" s="218" t="s">
        <v>507</v>
      </c>
      <c r="M19" s="219"/>
      <c r="N19" s="218" t="s">
        <v>85</v>
      </c>
      <c r="O19" s="218" t="s">
        <v>506</v>
      </c>
      <c r="P19" s="218" t="s">
        <v>507</v>
      </c>
    </row>
    <row r="20" spans="2:16" ht="14.25">
      <c r="B20" s="220"/>
      <c r="C20" s="221"/>
      <c r="D20" s="221"/>
      <c r="E20" s="219"/>
      <c r="F20" s="220" t="s">
        <v>522</v>
      </c>
      <c r="G20" s="221">
        <f>'[1]C2B(Controller Data)'!$I$19</f>
        <v>40010</v>
      </c>
      <c r="H20" s="222" t="s">
        <v>520</v>
      </c>
      <c r="J20" s="220"/>
      <c r="K20" s="221"/>
      <c r="L20" s="221"/>
      <c r="M20" s="219"/>
      <c r="N20" s="220" t="s">
        <v>522</v>
      </c>
      <c r="O20" s="221">
        <f>'[1]C2B(Controller Data)'!$I$19</f>
        <v>40010</v>
      </c>
      <c r="P20" s="222" t="s">
        <v>520</v>
      </c>
    </row>
    <row r="21" spans="2:16" ht="14.25">
      <c r="B21" s="220" t="s">
        <v>510</v>
      </c>
      <c r="C21" s="221">
        <f>'[1]B2C(BSC Data)'!$I$38</f>
        <v>30030</v>
      </c>
      <c r="D21" s="223" t="s">
        <v>509</v>
      </c>
      <c r="E21" s="219"/>
      <c r="F21" s="220"/>
      <c r="G21" s="221"/>
      <c r="H21" s="221"/>
      <c r="J21" s="220" t="s">
        <v>523</v>
      </c>
      <c r="K21" s="221">
        <f>'[1]B2C(BSC Data)'!$I$38</f>
        <v>30030</v>
      </c>
      <c r="L21" s="224" t="s">
        <v>518</v>
      </c>
      <c r="M21" s="219"/>
      <c r="N21" s="220"/>
      <c r="O21" s="221"/>
      <c r="P21" s="221"/>
    </row>
    <row r="22" spans="2:16" ht="14.25">
      <c r="B22" s="220" t="s">
        <v>524</v>
      </c>
      <c r="C22" s="221">
        <f>'[1]B2C(BSC Data)'!$I$63</f>
        <v>30031</v>
      </c>
      <c r="D22" s="222" t="s">
        <v>520</v>
      </c>
      <c r="E22" s="219"/>
      <c r="F22" s="220"/>
      <c r="G22" s="221"/>
      <c r="H22" s="221"/>
      <c r="J22" s="220" t="s">
        <v>514</v>
      </c>
      <c r="K22" s="221"/>
      <c r="L22" s="221"/>
      <c r="M22" s="219"/>
      <c r="N22" s="220" t="s">
        <v>515</v>
      </c>
      <c r="O22" s="221">
        <f>'[1]C2B(Controller Data)'!$I$19</f>
        <v>40010</v>
      </c>
      <c r="P22" s="221" t="s">
        <v>516</v>
      </c>
    </row>
    <row r="23" spans="2:16" ht="14.25">
      <c r="B23" s="221" t="s">
        <v>420</v>
      </c>
      <c r="C23" s="221"/>
      <c r="D23" s="221"/>
      <c r="E23" s="219"/>
      <c r="F23" s="220" t="s">
        <v>515</v>
      </c>
      <c r="G23" s="221">
        <f>'[1]C2B(Controller Data)'!$I$19</f>
        <v>40010</v>
      </c>
      <c r="H23" s="221" t="s">
        <v>516</v>
      </c>
      <c r="J23" s="221"/>
      <c r="K23" s="221"/>
      <c r="L23" s="221"/>
      <c r="M23" s="219"/>
      <c r="N23" s="220"/>
      <c r="O23" s="221"/>
      <c r="P23" s="221"/>
    </row>
    <row r="24" spans="2:16" ht="14.25">
      <c r="B24" s="220" t="s">
        <v>525</v>
      </c>
      <c r="C24" s="221">
        <f>'[1]B2C(BSC Data)'!$I$68</f>
        <v>30036</v>
      </c>
      <c r="D24" s="221" t="s">
        <v>520</v>
      </c>
      <c r="E24" s="219"/>
      <c r="F24" s="220"/>
      <c r="G24" s="221"/>
      <c r="H24" s="221"/>
      <c r="J24" s="220"/>
      <c r="K24" s="221"/>
      <c r="L24" s="221"/>
      <c r="M24" s="219"/>
      <c r="N24" s="220"/>
      <c r="O24" s="221"/>
      <c r="P24" s="221"/>
    </row>
    <row r="25" spans="2:16" ht="14.25">
      <c r="B25" s="220" t="s">
        <v>519</v>
      </c>
      <c r="C25" s="221">
        <f>'[1]B2C(BSC Data)'!$I$38</f>
        <v>30030</v>
      </c>
      <c r="D25" s="221" t="s">
        <v>520</v>
      </c>
      <c r="E25" s="219"/>
      <c r="F25" s="220"/>
      <c r="G25" s="221"/>
      <c r="H25" s="221"/>
      <c r="J25" s="220"/>
      <c r="K25" s="221"/>
      <c r="L25" s="221"/>
      <c r="M25" s="219"/>
      <c r="N25" s="220"/>
      <c r="O25" s="221"/>
      <c r="P25" s="221"/>
    </row>
    <row r="26" spans="2:16" ht="14.25">
      <c r="B26" s="221" t="s">
        <v>420</v>
      </c>
      <c r="C26" s="221"/>
      <c r="D26" s="221"/>
      <c r="E26" s="219"/>
      <c r="F26" s="220"/>
      <c r="G26" s="221"/>
      <c r="H26" s="221"/>
      <c r="J26" s="221"/>
      <c r="K26" s="221"/>
      <c r="L26" s="221"/>
      <c r="M26" s="219"/>
      <c r="N26" s="220"/>
      <c r="O26" s="221"/>
      <c r="P26" s="221"/>
    </row>
    <row r="27" spans="2:16" ht="14.25">
      <c r="B27" s="220" t="s">
        <v>521</v>
      </c>
      <c r="C27" s="221">
        <f>'[1]B2C(BSC Data)'!$I$38</f>
        <v>30030</v>
      </c>
      <c r="D27" s="221" t="s">
        <v>516</v>
      </c>
      <c r="E27" s="219"/>
      <c r="F27" s="220"/>
      <c r="G27" s="221"/>
      <c r="H27" s="221"/>
      <c r="J27" s="220"/>
      <c r="K27" s="221"/>
      <c r="L27" s="221"/>
      <c r="M27" s="219"/>
      <c r="N27" s="220"/>
      <c r="O27" s="221"/>
      <c r="P27" s="221"/>
    </row>
    <row r="28" spans="2:16" ht="14.25">
      <c r="B28" s="220" t="s">
        <v>187</v>
      </c>
      <c r="C28" s="221">
        <f>'[1]B2C(BSC Data)'!$I$63</f>
        <v>30031</v>
      </c>
      <c r="D28" s="221" t="s">
        <v>516</v>
      </c>
      <c r="E28" s="219"/>
      <c r="F28" s="220"/>
      <c r="G28" s="221"/>
      <c r="H28" s="221"/>
      <c r="J28" s="220"/>
      <c r="K28" s="221"/>
      <c r="L28" s="221"/>
      <c r="M28" s="219"/>
      <c r="N28" s="220"/>
      <c r="O28" s="221"/>
      <c r="P28" s="221"/>
    </row>
    <row r="32" spans="2:16" ht="15">
      <c r="B32" s="217" t="s">
        <v>526</v>
      </c>
      <c r="C32" s="64"/>
      <c r="D32" s="64"/>
      <c r="E32" s="64"/>
      <c r="F32" s="64"/>
      <c r="G32" s="64"/>
      <c r="H32" s="64"/>
      <c r="J32" s="217" t="s">
        <v>526</v>
      </c>
      <c r="K32" s="64"/>
      <c r="L32" s="64"/>
      <c r="M32" s="64"/>
      <c r="N32" s="64"/>
      <c r="O32" s="64"/>
      <c r="P32" s="64"/>
    </row>
    <row r="33" spans="2:16" ht="14.25">
      <c r="B33" s="218" t="s">
        <v>505</v>
      </c>
      <c r="C33" s="218" t="s">
        <v>506</v>
      </c>
      <c r="D33" s="218" t="s">
        <v>507</v>
      </c>
      <c r="E33" s="219"/>
      <c r="F33" s="218" t="s">
        <v>85</v>
      </c>
      <c r="G33" s="218" t="s">
        <v>506</v>
      </c>
      <c r="H33" s="218" t="s">
        <v>507</v>
      </c>
      <c r="J33" s="218" t="s">
        <v>505</v>
      </c>
      <c r="K33" s="218" t="s">
        <v>506</v>
      </c>
      <c r="L33" s="218" t="s">
        <v>507</v>
      </c>
      <c r="M33" s="219"/>
      <c r="N33" s="218" t="s">
        <v>85</v>
      </c>
      <c r="O33" s="218" t="s">
        <v>506</v>
      </c>
      <c r="P33" s="218" t="s">
        <v>507</v>
      </c>
    </row>
    <row r="34" spans="2:16" ht="14.25">
      <c r="B34" s="220"/>
      <c r="C34" s="221"/>
      <c r="D34" s="221"/>
      <c r="E34" s="219"/>
      <c r="F34" s="220" t="s">
        <v>527</v>
      </c>
      <c r="G34" s="221">
        <f>'[1]C2B(Controller Data)'!$I$19</f>
        <v>40010</v>
      </c>
      <c r="H34" s="222" t="s">
        <v>528</v>
      </c>
      <c r="J34" s="220"/>
      <c r="K34" s="221"/>
      <c r="L34" s="221"/>
      <c r="M34" s="219"/>
      <c r="N34" s="220" t="s">
        <v>527</v>
      </c>
      <c r="O34" s="221">
        <f>'[1]C2B(Controller Data)'!$I$19</f>
        <v>40010</v>
      </c>
      <c r="P34" s="222" t="s">
        <v>528</v>
      </c>
    </row>
    <row r="35" spans="2:16" ht="14.25">
      <c r="B35" s="220" t="s">
        <v>510</v>
      </c>
      <c r="C35" s="221">
        <f>'[1]B2C(BSC Data)'!$I$38</f>
        <v>30030</v>
      </c>
      <c r="D35" s="223" t="s">
        <v>509</v>
      </c>
      <c r="E35" s="219"/>
      <c r="F35" s="220"/>
      <c r="G35" s="221"/>
      <c r="H35" s="221"/>
      <c r="J35" s="220" t="s">
        <v>529</v>
      </c>
      <c r="K35" s="221">
        <f>'[1]B2C(BSC Data)'!$I$38</f>
        <v>30030</v>
      </c>
      <c r="L35" s="224" t="s">
        <v>530</v>
      </c>
      <c r="M35" s="219"/>
      <c r="N35" s="220"/>
      <c r="O35" s="221"/>
      <c r="P35" s="221"/>
    </row>
    <row r="36" spans="2:16" ht="14.25">
      <c r="B36" s="220" t="s">
        <v>531</v>
      </c>
      <c r="C36" s="221">
        <f>'[1]B2C(BSC Data)'!$I$63</f>
        <v>30031</v>
      </c>
      <c r="D36" s="222" t="s">
        <v>528</v>
      </c>
      <c r="E36" s="219"/>
      <c r="F36" s="220"/>
      <c r="G36" s="221"/>
      <c r="H36" s="221"/>
      <c r="J36" s="220" t="s">
        <v>514</v>
      </c>
      <c r="K36" s="221"/>
      <c r="L36" s="221"/>
      <c r="M36" s="219"/>
      <c r="N36" s="220" t="s">
        <v>515</v>
      </c>
      <c r="O36" s="221">
        <f>'[1]C2B(Controller Data)'!$I$19</f>
        <v>40010</v>
      </c>
      <c r="P36" s="221" t="s">
        <v>516</v>
      </c>
    </row>
    <row r="37" spans="2:16" ht="14.25">
      <c r="B37" s="221" t="s">
        <v>420</v>
      </c>
      <c r="C37" s="221"/>
      <c r="D37" s="221"/>
      <c r="E37" s="219"/>
      <c r="F37" s="220" t="s">
        <v>515</v>
      </c>
      <c r="G37" s="221">
        <f>'[1]C2B(Controller Data)'!$I$19</f>
        <v>40010</v>
      </c>
      <c r="H37" s="221" t="s">
        <v>516</v>
      </c>
      <c r="J37" s="221"/>
      <c r="K37" s="221"/>
      <c r="L37" s="221"/>
      <c r="M37" s="219"/>
      <c r="N37" s="220"/>
      <c r="O37" s="221"/>
      <c r="P37" s="221"/>
    </row>
    <row r="38" spans="2:16" ht="14.25">
      <c r="B38" s="220" t="s">
        <v>532</v>
      </c>
      <c r="C38" s="221">
        <f>'[1]B2C(BSC Data)'!$I$68</f>
        <v>30036</v>
      </c>
      <c r="D38" s="221" t="s">
        <v>509</v>
      </c>
      <c r="E38" s="219"/>
      <c r="F38" s="220"/>
      <c r="G38" s="221"/>
      <c r="H38" s="221"/>
      <c r="J38" s="220"/>
      <c r="K38" s="221"/>
      <c r="L38" s="221"/>
      <c r="M38" s="219"/>
      <c r="N38" s="220"/>
      <c r="O38" s="221"/>
      <c r="P38" s="221"/>
    </row>
    <row r="39" spans="2:16" ht="14.25">
      <c r="B39" s="220" t="s">
        <v>519</v>
      </c>
      <c r="C39" s="221">
        <f>'[1]B2C(BSC Data)'!$I$38</f>
        <v>30030</v>
      </c>
      <c r="D39" s="221" t="s">
        <v>520</v>
      </c>
      <c r="E39" s="219"/>
      <c r="F39" s="220"/>
      <c r="G39" s="221"/>
      <c r="H39" s="221"/>
      <c r="J39" s="220"/>
      <c r="K39" s="221"/>
      <c r="L39" s="221"/>
      <c r="M39" s="219"/>
      <c r="N39" s="220"/>
      <c r="O39" s="221"/>
      <c r="P39" s="221"/>
    </row>
    <row r="40" spans="2:16" ht="14.25">
      <c r="B40" s="221" t="s">
        <v>420</v>
      </c>
      <c r="C40" s="221"/>
      <c r="D40" s="221"/>
      <c r="E40" s="219"/>
      <c r="F40" s="220"/>
      <c r="G40" s="221"/>
      <c r="H40" s="221"/>
      <c r="J40" s="221"/>
      <c r="K40" s="221"/>
      <c r="L40" s="221"/>
      <c r="M40" s="219"/>
      <c r="N40" s="220"/>
      <c r="O40" s="221"/>
      <c r="P40" s="221"/>
    </row>
    <row r="41" spans="2:16" ht="14.25">
      <c r="B41" s="220" t="s">
        <v>521</v>
      </c>
      <c r="C41" s="221">
        <f>'[1]B2C(BSC Data)'!$I$38</f>
        <v>30030</v>
      </c>
      <c r="D41" s="221" t="s">
        <v>516</v>
      </c>
      <c r="E41" s="219"/>
      <c r="F41" s="220"/>
      <c r="G41" s="221"/>
      <c r="H41" s="221"/>
      <c r="J41" s="220"/>
      <c r="K41" s="221"/>
      <c r="L41" s="221"/>
      <c r="M41" s="219"/>
      <c r="N41" s="220"/>
      <c r="O41" s="221"/>
      <c r="P41" s="221"/>
    </row>
    <row r="42" spans="2:16" ht="14.25">
      <c r="B42" s="220" t="s">
        <v>187</v>
      </c>
      <c r="C42" s="221">
        <f>'[1]B2C(BSC Data)'!$I$63</f>
        <v>30031</v>
      </c>
      <c r="D42" s="221" t="s">
        <v>516</v>
      </c>
      <c r="E42" s="219"/>
      <c r="F42" s="220"/>
      <c r="G42" s="221"/>
      <c r="H42" s="221"/>
      <c r="J42" s="220"/>
      <c r="K42" s="221"/>
      <c r="L42" s="221"/>
      <c r="M42" s="219"/>
      <c r="N42" s="220"/>
      <c r="O42" s="221"/>
      <c r="P42" s="221"/>
    </row>
    <row r="46" spans="2:16" ht="15">
      <c r="B46" s="217" t="s">
        <v>533</v>
      </c>
      <c r="C46" s="64"/>
      <c r="D46" s="64"/>
      <c r="E46" s="64"/>
      <c r="F46" s="64"/>
      <c r="G46" s="64"/>
      <c r="H46" s="64"/>
      <c r="J46" s="217" t="s">
        <v>533</v>
      </c>
      <c r="K46" s="64"/>
      <c r="L46" s="64"/>
      <c r="M46" s="64"/>
      <c r="N46" s="64"/>
      <c r="O46" s="64"/>
      <c r="P46" s="64"/>
    </row>
    <row r="47" spans="2:16" ht="14.25">
      <c r="B47" s="218" t="s">
        <v>505</v>
      </c>
      <c r="C47" s="218" t="s">
        <v>506</v>
      </c>
      <c r="D47" s="218" t="s">
        <v>507</v>
      </c>
      <c r="E47" s="219"/>
      <c r="F47" s="218" t="s">
        <v>85</v>
      </c>
      <c r="G47" s="218" t="s">
        <v>506</v>
      </c>
      <c r="H47" s="218" t="s">
        <v>507</v>
      </c>
      <c r="J47" s="218" t="s">
        <v>505</v>
      </c>
      <c r="K47" s="218" t="s">
        <v>506</v>
      </c>
      <c r="L47" s="218" t="s">
        <v>507</v>
      </c>
      <c r="M47" s="219"/>
      <c r="N47" s="218" t="s">
        <v>85</v>
      </c>
      <c r="O47" s="218" t="s">
        <v>506</v>
      </c>
      <c r="P47" s="218" t="s">
        <v>507</v>
      </c>
    </row>
    <row r="48" spans="2:16" ht="14.25">
      <c r="B48" s="220"/>
      <c r="C48" s="221"/>
      <c r="D48" s="221"/>
      <c r="E48" s="219"/>
      <c r="F48" s="220" t="s">
        <v>534</v>
      </c>
      <c r="G48" s="221">
        <f>'[1]C2B(Controller Data)'!$I$19</f>
        <v>40010</v>
      </c>
      <c r="H48" s="222" t="s">
        <v>535</v>
      </c>
      <c r="J48" s="220"/>
      <c r="K48" s="221"/>
      <c r="L48" s="221"/>
      <c r="M48" s="219"/>
      <c r="N48" s="220" t="s">
        <v>534</v>
      </c>
      <c r="O48" s="221">
        <f>'[1]C2B(Controller Data)'!$I$19</f>
        <v>40010</v>
      </c>
      <c r="P48" s="222" t="s">
        <v>535</v>
      </c>
    </row>
    <row r="49" spans="2:16" ht="14.25">
      <c r="B49" s="220" t="s">
        <v>510</v>
      </c>
      <c r="C49" s="221">
        <f>'[1]B2C(BSC Data)'!$I$38</f>
        <v>30030</v>
      </c>
      <c r="D49" s="223" t="s">
        <v>509</v>
      </c>
      <c r="E49" s="219"/>
      <c r="F49" s="220"/>
      <c r="G49" s="221"/>
      <c r="H49" s="221"/>
      <c r="J49" s="220" t="s">
        <v>536</v>
      </c>
      <c r="K49" s="221">
        <f>'[1]B2C(BSC Data)'!$I$38</f>
        <v>30030</v>
      </c>
      <c r="L49" s="224" t="s">
        <v>537</v>
      </c>
      <c r="M49" s="219"/>
      <c r="N49" s="220"/>
      <c r="O49" s="221"/>
      <c r="P49" s="221"/>
    </row>
    <row r="50" spans="2:16" ht="14.25">
      <c r="B50" s="220" t="s">
        <v>538</v>
      </c>
      <c r="C50" s="221">
        <f>'[1]B2C(BSC Data)'!$I$63</f>
        <v>30031</v>
      </c>
      <c r="D50" s="222" t="s">
        <v>535</v>
      </c>
      <c r="E50" s="219"/>
      <c r="F50" s="220"/>
      <c r="G50" s="221"/>
      <c r="H50" s="221"/>
      <c r="J50" s="220" t="s">
        <v>514</v>
      </c>
      <c r="K50" s="221"/>
      <c r="L50" s="221"/>
      <c r="M50" s="219"/>
      <c r="N50" s="220" t="s">
        <v>515</v>
      </c>
      <c r="O50" s="221">
        <f>'[1]C2B(Controller Data)'!$I$19</f>
        <v>40010</v>
      </c>
      <c r="P50" s="221" t="s">
        <v>516</v>
      </c>
    </row>
    <row r="51" spans="2:16" ht="14.25">
      <c r="B51" s="221" t="s">
        <v>420</v>
      </c>
      <c r="C51" s="221"/>
      <c r="D51" s="221"/>
      <c r="E51" s="219"/>
      <c r="F51" s="220" t="s">
        <v>515</v>
      </c>
      <c r="G51" s="221">
        <f>'[1]C2B(Controller Data)'!$I$19</f>
        <v>40010</v>
      </c>
      <c r="H51" s="221" t="s">
        <v>516</v>
      </c>
      <c r="J51" s="221"/>
      <c r="K51" s="221"/>
      <c r="L51" s="221"/>
      <c r="M51" s="219"/>
      <c r="N51" s="220"/>
      <c r="O51" s="221"/>
      <c r="P51" s="221"/>
    </row>
    <row r="52" spans="2:16" ht="14.25">
      <c r="B52" s="220" t="s">
        <v>539</v>
      </c>
      <c r="C52" s="221">
        <f>'[1]B2C(BSC Data)'!$I$93</f>
        <v>30038</v>
      </c>
      <c r="D52" s="221">
        <v>0</v>
      </c>
      <c r="E52" s="219"/>
      <c r="F52" s="220"/>
      <c r="G52" s="221"/>
      <c r="H52" s="221"/>
      <c r="J52" s="220"/>
      <c r="K52" s="221"/>
      <c r="L52" s="221"/>
      <c r="M52" s="219"/>
      <c r="N52" s="220"/>
      <c r="O52" s="221"/>
      <c r="P52" s="221"/>
    </row>
    <row r="53" spans="2:16" ht="14.25">
      <c r="B53" s="220" t="s">
        <v>540</v>
      </c>
      <c r="C53" s="221">
        <f>'[1]B2C(BSC Data)'!$I$230</f>
        <v>30055</v>
      </c>
      <c r="D53" s="221">
        <v>0</v>
      </c>
      <c r="E53" s="219"/>
      <c r="F53" s="220"/>
      <c r="G53" s="221"/>
      <c r="H53" s="221"/>
      <c r="J53" s="220"/>
      <c r="K53" s="221"/>
      <c r="L53" s="221"/>
      <c r="M53" s="219"/>
      <c r="N53" s="220"/>
      <c r="O53" s="221"/>
      <c r="P53" s="221"/>
    </row>
    <row r="54" spans="2:16" ht="14.25">
      <c r="B54" s="220" t="s">
        <v>541</v>
      </c>
      <c r="C54" s="221">
        <f>'[1]B2C(BSC Data)'!$I$231</f>
        <v>30056</v>
      </c>
      <c r="D54" s="221">
        <v>0</v>
      </c>
      <c r="E54" s="219"/>
      <c r="F54" s="220"/>
      <c r="G54" s="221"/>
      <c r="H54" s="221"/>
      <c r="J54" s="220"/>
      <c r="K54" s="221"/>
      <c r="L54" s="221"/>
      <c r="M54" s="219"/>
      <c r="N54" s="220"/>
      <c r="O54" s="221"/>
      <c r="P54" s="221"/>
    </row>
    <row r="55" spans="2:16" ht="14.25">
      <c r="B55" s="220" t="s">
        <v>542</v>
      </c>
      <c r="C55" s="221" t="s">
        <v>543</v>
      </c>
      <c r="D55" s="221">
        <v>0</v>
      </c>
      <c r="E55" s="219"/>
      <c r="F55" s="220"/>
      <c r="G55" s="221"/>
      <c r="H55" s="221"/>
      <c r="J55" s="220"/>
      <c r="K55" s="221"/>
      <c r="L55" s="221"/>
      <c r="M55" s="219"/>
      <c r="N55" s="220"/>
      <c r="O55" s="221"/>
      <c r="P55" s="221"/>
    </row>
    <row r="56" spans="2:16" ht="14.25">
      <c r="B56" s="220" t="s">
        <v>519</v>
      </c>
      <c r="C56" s="221">
        <f>'[1]B2C(BSC Data)'!$I$38</f>
        <v>30030</v>
      </c>
      <c r="D56" s="221" t="s">
        <v>520</v>
      </c>
      <c r="E56" s="219"/>
      <c r="F56" s="220"/>
      <c r="G56" s="221"/>
      <c r="H56" s="221"/>
      <c r="J56" s="220"/>
      <c r="K56" s="221"/>
      <c r="L56" s="221"/>
      <c r="M56" s="219"/>
      <c r="N56" s="220"/>
      <c r="O56" s="221"/>
      <c r="P56" s="221"/>
    </row>
    <row r="57" spans="2:16" ht="14.25">
      <c r="B57" s="221" t="s">
        <v>420</v>
      </c>
      <c r="C57" s="221"/>
      <c r="D57" s="221"/>
      <c r="E57" s="219"/>
      <c r="F57" s="220"/>
      <c r="G57" s="221"/>
      <c r="H57" s="221"/>
      <c r="J57" s="221"/>
      <c r="K57" s="221"/>
      <c r="L57" s="221"/>
      <c r="M57" s="219"/>
      <c r="N57" s="220"/>
      <c r="O57" s="221"/>
      <c r="P57" s="221"/>
    </row>
    <row r="58" spans="2:16" ht="14.25">
      <c r="B58" s="220" t="s">
        <v>521</v>
      </c>
      <c r="C58" s="221">
        <f>'[1]B2C(BSC Data)'!$I$38</f>
        <v>30030</v>
      </c>
      <c r="D58" s="221" t="s">
        <v>516</v>
      </c>
      <c r="E58" s="219"/>
      <c r="F58" s="220"/>
      <c r="G58" s="221"/>
      <c r="H58" s="221"/>
      <c r="J58" s="220"/>
      <c r="K58" s="221"/>
      <c r="L58" s="221"/>
      <c r="M58" s="219"/>
      <c r="N58" s="220"/>
      <c r="O58" s="221"/>
      <c r="P58" s="221"/>
    </row>
    <row r="59" spans="2:16" ht="14.25">
      <c r="B59" s="220" t="s">
        <v>187</v>
      </c>
      <c r="C59" s="221">
        <f>'[1]B2C(BSC Data)'!$I$63</f>
        <v>30031</v>
      </c>
      <c r="D59" s="221" t="s">
        <v>516</v>
      </c>
      <c r="E59" s="219"/>
      <c r="F59" s="220"/>
      <c r="G59" s="221"/>
      <c r="H59" s="221"/>
      <c r="J59" s="220"/>
      <c r="K59" s="221"/>
      <c r="L59" s="221"/>
      <c r="M59" s="219"/>
      <c r="N59" s="220"/>
      <c r="O59" s="221"/>
      <c r="P59" s="221"/>
    </row>
    <row r="63" spans="2:16" ht="15">
      <c r="B63" s="217" t="s">
        <v>544</v>
      </c>
      <c r="C63" s="64"/>
      <c r="D63" s="64"/>
      <c r="E63" s="64"/>
      <c r="F63" s="64"/>
      <c r="G63" s="64"/>
      <c r="H63" s="64"/>
      <c r="J63" s="217" t="s">
        <v>544</v>
      </c>
      <c r="K63" s="64"/>
      <c r="L63" s="64"/>
      <c r="M63" s="64"/>
      <c r="N63" s="64"/>
      <c r="O63" s="64"/>
      <c r="P63" s="64"/>
    </row>
    <row r="64" spans="2:16" ht="14.25">
      <c r="B64" s="218" t="s">
        <v>505</v>
      </c>
      <c r="C64" s="218" t="s">
        <v>506</v>
      </c>
      <c r="D64" s="218" t="s">
        <v>507</v>
      </c>
      <c r="E64" s="219"/>
      <c r="F64" s="218" t="s">
        <v>85</v>
      </c>
      <c r="G64" s="218" t="s">
        <v>506</v>
      </c>
      <c r="H64" s="218" t="s">
        <v>507</v>
      </c>
      <c r="J64" s="218" t="s">
        <v>505</v>
      </c>
      <c r="K64" s="218" t="s">
        <v>506</v>
      </c>
      <c r="L64" s="218" t="s">
        <v>507</v>
      </c>
      <c r="M64" s="219"/>
      <c r="N64" s="218" t="s">
        <v>85</v>
      </c>
      <c r="O64" s="218" t="s">
        <v>506</v>
      </c>
      <c r="P64" s="218" t="s">
        <v>507</v>
      </c>
    </row>
    <row r="65" spans="2:16" ht="14.25">
      <c r="B65" s="220"/>
      <c r="C65" s="221"/>
      <c r="D65" s="221"/>
      <c r="E65" s="219"/>
      <c r="F65" s="220" t="s">
        <v>545</v>
      </c>
      <c r="G65" s="221">
        <f>'[1]C2B(Controller Data)'!$I$19</f>
        <v>40010</v>
      </c>
      <c r="H65" s="222" t="s">
        <v>512</v>
      </c>
      <c r="J65" s="220"/>
      <c r="K65" s="221"/>
      <c r="L65" s="221"/>
      <c r="M65" s="219"/>
      <c r="N65" s="220" t="s">
        <v>545</v>
      </c>
      <c r="O65" s="221">
        <f>'[1]C2B(Controller Data)'!$I$19</f>
        <v>40010</v>
      </c>
      <c r="P65" s="222" t="s">
        <v>512</v>
      </c>
    </row>
    <row r="66" spans="2:16" ht="14.25">
      <c r="B66" s="220" t="s">
        <v>510</v>
      </c>
      <c r="C66" s="221">
        <f>'[1]B2C(BSC Data)'!$I$38</f>
        <v>30030</v>
      </c>
      <c r="D66" s="223" t="s">
        <v>509</v>
      </c>
      <c r="E66" s="219"/>
      <c r="F66" s="220"/>
      <c r="G66" s="221"/>
      <c r="H66" s="221"/>
      <c r="J66" s="220" t="s">
        <v>546</v>
      </c>
      <c r="K66" s="221">
        <f>'[1]B2C(BSC Data)'!$I$38</f>
        <v>30030</v>
      </c>
      <c r="L66" s="225" t="s">
        <v>547</v>
      </c>
      <c r="M66" s="219"/>
      <c r="N66" s="220"/>
      <c r="O66" s="221"/>
      <c r="P66" s="221"/>
    </row>
    <row r="67" spans="2:16" ht="14.25">
      <c r="B67" s="220" t="s">
        <v>548</v>
      </c>
      <c r="C67" s="221">
        <f>'[1]B2C(BSC Data)'!$I$63</f>
        <v>30031</v>
      </c>
      <c r="D67" s="222" t="s">
        <v>512</v>
      </c>
      <c r="E67" s="219"/>
      <c r="F67" s="220"/>
      <c r="G67" s="221"/>
      <c r="H67" s="221"/>
      <c r="J67" s="220" t="s">
        <v>514</v>
      </c>
      <c r="K67" s="221"/>
      <c r="L67" s="221"/>
      <c r="M67" s="219"/>
      <c r="N67" s="220" t="s">
        <v>515</v>
      </c>
      <c r="O67" s="221">
        <f>'[1]C2B(Controller Data)'!$I$19</f>
        <v>40010</v>
      </c>
      <c r="P67" s="221" t="s">
        <v>516</v>
      </c>
    </row>
    <row r="68" spans="2:16" ht="14.25">
      <c r="B68" s="221" t="s">
        <v>420</v>
      </c>
      <c r="C68" s="221"/>
      <c r="D68" s="221"/>
      <c r="E68" s="219"/>
      <c r="F68" s="220" t="s">
        <v>515</v>
      </c>
      <c r="G68" s="221">
        <f>'[1]C2B(Controller Data)'!$I$19</f>
        <v>40010</v>
      </c>
      <c r="H68" s="221" t="s">
        <v>516</v>
      </c>
      <c r="J68" s="221"/>
      <c r="K68" s="221"/>
      <c r="L68" s="221"/>
      <c r="M68" s="219"/>
      <c r="N68" s="220"/>
      <c r="O68" s="221"/>
      <c r="P68" s="221"/>
    </row>
    <row r="69" spans="2:16" ht="14.25">
      <c r="B69" s="220" t="s">
        <v>549</v>
      </c>
      <c r="C69" s="221">
        <f>'[1]B2C(BSC Data)'!$I$93</f>
        <v>30038</v>
      </c>
      <c r="D69" s="221" t="s">
        <v>550</v>
      </c>
      <c r="E69" s="219"/>
      <c r="F69" s="220"/>
      <c r="G69" s="221"/>
      <c r="H69" s="221"/>
      <c r="J69" s="220"/>
      <c r="K69" s="221"/>
      <c r="L69" s="221"/>
      <c r="M69" s="219"/>
      <c r="N69" s="220"/>
      <c r="O69" s="221"/>
      <c r="P69" s="221"/>
    </row>
    <row r="70" spans="2:16" ht="14.25">
      <c r="B70" s="220" t="s">
        <v>540</v>
      </c>
      <c r="C70" s="221">
        <f>'[1]B2C(BSC Data)'!$I$230</f>
        <v>30055</v>
      </c>
      <c r="D70" s="221" t="s">
        <v>550</v>
      </c>
      <c r="E70" s="219"/>
      <c r="F70" s="220"/>
      <c r="G70" s="221"/>
      <c r="H70" s="221"/>
      <c r="J70" s="220"/>
      <c r="K70" s="221"/>
      <c r="L70" s="221"/>
      <c r="M70" s="219"/>
      <c r="N70" s="220"/>
      <c r="O70" s="221"/>
      <c r="P70" s="221"/>
    </row>
    <row r="71" spans="2:16" ht="14.25">
      <c r="B71" s="220" t="s">
        <v>541</v>
      </c>
      <c r="C71" s="221">
        <f>'[1]B2C(BSC Data)'!$I$231</f>
        <v>30056</v>
      </c>
      <c r="D71" s="221" t="s">
        <v>550</v>
      </c>
      <c r="E71" s="219"/>
      <c r="F71" s="220"/>
      <c r="G71" s="221"/>
      <c r="H71" s="221"/>
      <c r="J71" s="220"/>
      <c r="K71" s="221"/>
      <c r="L71" s="221"/>
      <c r="M71" s="219"/>
      <c r="N71" s="220"/>
      <c r="O71" s="221"/>
      <c r="P71" s="221"/>
    </row>
    <row r="72" spans="2:16" ht="14.25">
      <c r="B72" s="220" t="s">
        <v>542</v>
      </c>
      <c r="C72" s="221" t="s">
        <v>543</v>
      </c>
      <c r="D72" s="221" t="s">
        <v>543</v>
      </c>
      <c r="E72" s="219"/>
      <c r="F72" s="220"/>
      <c r="G72" s="221"/>
      <c r="H72" s="221"/>
      <c r="J72" s="220"/>
      <c r="K72" s="221"/>
      <c r="L72" s="221"/>
      <c r="M72" s="219"/>
      <c r="N72" s="220"/>
      <c r="O72" s="221"/>
      <c r="P72" s="221"/>
    </row>
    <row r="73" spans="2:16" ht="14.25">
      <c r="B73" s="220" t="s">
        <v>519</v>
      </c>
      <c r="C73" s="221">
        <f>'[1]B2C(BSC Data)'!$I$38</f>
        <v>30030</v>
      </c>
      <c r="D73" s="221" t="s">
        <v>520</v>
      </c>
      <c r="E73" s="219"/>
      <c r="F73" s="220"/>
      <c r="G73" s="221"/>
      <c r="H73" s="221"/>
      <c r="J73" s="220"/>
      <c r="K73" s="221"/>
      <c r="L73" s="221"/>
      <c r="M73" s="219"/>
      <c r="N73" s="220"/>
      <c r="O73" s="221"/>
      <c r="P73" s="221"/>
    </row>
    <row r="74" spans="2:16" ht="14.25">
      <c r="B74" s="221" t="s">
        <v>420</v>
      </c>
      <c r="C74" s="221"/>
      <c r="D74" s="221"/>
      <c r="E74" s="219"/>
      <c r="F74" s="220"/>
      <c r="G74" s="221"/>
      <c r="H74" s="221"/>
      <c r="J74" s="221"/>
      <c r="K74" s="221"/>
      <c r="L74" s="221"/>
      <c r="M74" s="219"/>
      <c r="N74" s="220"/>
      <c r="O74" s="221"/>
      <c r="P74" s="221"/>
    </row>
    <row r="75" spans="2:16" ht="14.25">
      <c r="B75" s="220" t="s">
        <v>521</v>
      </c>
      <c r="C75" s="221">
        <f>'[1]B2C(BSC Data)'!$I$38</f>
        <v>30030</v>
      </c>
      <c r="D75" s="221" t="s">
        <v>516</v>
      </c>
      <c r="E75" s="219"/>
      <c r="F75" s="220"/>
      <c r="G75" s="221"/>
      <c r="H75" s="221"/>
      <c r="J75" s="220"/>
      <c r="K75" s="221"/>
      <c r="L75" s="221"/>
      <c r="M75" s="219"/>
      <c r="N75" s="220"/>
      <c r="O75" s="221"/>
      <c r="P75" s="221"/>
    </row>
    <row r="76" spans="2:16" ht="14.25">
      <c r="B76" s="220" t="s">
        <v>187</v>
      </c>
      <c r="C76" s="221">
        <f>'[1]B2C(BSC Data)'!$I$63</f>
        <v>30031</v>
      </c>
      <c r="D76" s="221" t="s">
        <v>516</v>
      </c>
      <c r="E76" s="219"/>
      <c r="F76" s="220"/>
      <c r="G76" s="221"/>
      <c r="H76" s="221"/>
      <c r="J76" s="220"/>
      <c r="K76" s="221"/>
      <c r="L76" s="221"/>
      <c r="M76" s="219"/>
      <c r="N76" s="220"/>
      <c r="O76" s="221"/>
      <c r="P76" s="221"/>
    </row>
    <row r="80" spans="2:16" ht="15">
      <c r="B80" s="217" t="s">
        <v>551</v>
      </c>
      <c r="C80" s="64"/>
      <c r="D80" s="64"/>
      <c r="E80" s="64"/>
      <c r="F80" s="64"/>
      <c r="G80" s="64"/>
      <c r="H80" s="64"/>
      <c r="J80" s="217" t="s">
        <v>551</v>
      </c>
      <c r="K80" s="64"/>
      <c r="L80" s="64"/>
      <c r="M80" s="64"/>
      <c r="N80" s="64"/>
      <c r="O80" s="64"/>
      <c r="P80" s="64"/>
    </row>
    <row r="81" spans="2:16" ht="14.25">
      <c r="B81" s="218" t="s">
        <v>505</v>
      </c>
      <c r="C81" s="218" t="s">
        <v>506</v>
      </c>
      <c r="D81" s="218" t="s">
        <v>507</v>
      </c>
      <c r="E81" s="219"/>
      <c r="F81" s="218" t="s">
        <v>85</v>
      </c>
      <c r="G81" s="218" t="s">
        <v>506</v>
      </c>
      <c r="H81" s="218" t="s">
        <v>507</v>
      </c>
      <c r="J81" s="218" t="s">
        <v>505</v>
      </c>
      <c r="K81" s="218" t="s">
        <v>506</v>
      </c>
      <c r="L81" s="218" t="s">
        <v>507</v>
      </c>
      <c r="M81" s="219"/>
      <c r="N81" s="218" t="s">
        <v>85</v>
      </c>
      <c r="O81" s="218" t="s">
        <v>506</v>
      </c>
      <c r="P81" s="218" t="s">
        <v>507</v>
      </c>
    </row>
    <row r="82" spans="2:16" ht="14.25">
      <c r="B82" s="220"/>
      <c r="C82" s="221"/>
      <c r="D82" s="221"/>
      <c r="E82" s="219"/>
      <c r="F82" s="220" t="s">
        <v>552</v>
      </c>
      <c r="G82" s="221">
        <f>'[1]C2B(Controller Data)'!$I$19</f>
        <v>40010</v>
      </c>
      <c r="H82" s="222" t="s">
        <v>518</v>
      </c>
      <c r="J82" s="220"/>
      <c r="K82" s="221"/>
      <c r="L82" s="221"/>
      <c r="M82" s="219"/>
      <c r="N82" s="220" t="s">
        <v>552</v>
      </c>
      <c r="O82" s="221">
        <f>'[1]C2B(Controller Data)'!$I$19</f>
        <v>40010</v>
      </c>
      <c r="P82" s="222" t="s">
        <v>518</v>
      </c>
    </row>
    <row r="83" spans="2:16" ht="14.25">
      <c r="B83" s="220" t="s">
        <v>510</v>
      </c>
      <c r="C83" s="221">
        <f>'[1]B2C(BSC Data)'!$I$38</f>
        <v>30030</v>
      </c>
      <c r="D83" s="223" t="s">
        <v>509</v>
      </c>
      <c r="E83" s="219"/>
      <c r="F83" s="220"/>
      <c r="G83" s="221"/>
      <c r="H83" s="221"/>
      <c r="J83" s="220" t="s">
        <v>529</v>
      </c>
      <c r="K83" s="221">
        <f>'[1]B2C(BSC Data)'!$I$38</f>
        <v>30030</v>
      </c>
      <c r="L83" s="224" t="s">
        <v>530</v>
      </c>
      <c r="M83" s="219"/>
      <c r="N83" s="220"/>
      <c r="O83" s="221"/>
      <c r="P83" s="221"/>
    </row>
    <row r="84" spans="2:16" ht="14.25">
      <c r="B84" s="220" t="s">
        <v>553</v>
      </c>
      <c r="C84" s="221">
        <f>'[1]B2C(BSC Data)'!$I$63</f>
        <v>30031</v>
      </c>
      <c r="D84" s="222" t="s">
        <v>518</v>
      </c>
      <c r="E84" s="219"/>
      <c r="F84" s="220"/>
      <c r="G84" s="221"/>
      <c r="H84" s="221"/>
      <c r="J84" s="220" t="s">
        <v>514</v>
      </c>
      <c r="K84" s="221"/>
      <c r="L84" s="221"/>
      <c r="M84" s="219"/>
      <c r="N84" s="220" t="s">
        <v>515</v>
      </c>
      <c r="O84" s="221">
        <f>'[1]C2B(Controller Data)'!$I$19</f>
        <v>40010</v>
      </c>
      <c r="P84" s="221" t="s">
        <v>516</v>
      </c>
    </row>
    <row r="85" spans="2:16" ht="14.25">
      <c r="B85" s="221" t="s">
        <v>420</v>
      </c>
      <c r="C85" s="221"/>
      <c r="D85" s="221"/>
      <c r="E85" s="219"/>
      <c r="F85" s="220" t="s">
        <v>515</v>
      </c>
      <c r="G85" s="221">
        <f>'[1]C2B(Controller Data)'!$I$19</f>
        <v>40010</v>
      </c>
      <c r="H85" s="221" t="s">
        <v>516</v>
      </c>
      <c r="J85" s="221"/>
      <c r="K85" s="221"/>
      <c r="L85" s="221"/>
      <c r="M85" s="219"/>
      <c r="N85" s="220"/>
      <c r="O85" s="221"/>
      <c r="P85" s="221"/>
    </row>
    <row r="86" spans="2:16" ht="14.25">
      <c r="B86" s="220" t="s">
        <v>554</v>
      </c>
      <c r="C86" s="221">
        <f>'[1]B2C(BSC Data)'!$I$68</f>
        <v>30036</v>
      </c>
      <c r="D86" s="221" t="s">
        <v>512</v>
      </c>
      <c r="E86" s="219"/>
      <c r="F86" s="220"/>
      <c r="G86" s="221"/>
      <c r="H86" s="221"/>
      <c r="J86" s="220"/>
      <c r="K86" s="221"/>
      <c r="L86" s="221"/>
      <c r="M86" s="219"/>
      <c r="N86" s="220"/>
      <c r="O86" s="221"/>
      <c r="P86" s="221"/>
    </row>
    <row r="87" spans="2:16" ht="14.25">
      <c r="B87" s="220" t="s">
        <v>539</v>
      </c>
      <c r="C87" s="221">
        <f>'[1]B2C(BSC Data)'!$I$93</f>
        <v>30038</v>
      </c>
      <c r="D87" s="221">
        <v>0</v>
      </c>
      <c r="E87" s="219"/>
      <c r="F87" s="220"/>
      <c r="G87" s="221"/>
      <c r="H87" s="221"/>
      <c r="J87" s="220"/>
      <c r="K87" s="221"/>
      <c r="L87" s="221"/>
      <c r="M87" s="219"/>
      <c r="N87" s="220"/>
      <c r="O87" s="221"/>
      <c r="P87" s="221"/>
    </row>
    <row r="88" spans="2:16" ht="14.25">
      <c r="B88" s="220" t="s">
        <v>540</v>
      </c>
      <c r="C88" s="221">
        <f>'[1]B2C(BSC Data)'!$I$230</f>
        <v>30055</v>
      </c>
      <c r="D88" s="221">
        <v>0</v>
      </c>
      <c r="E88" s="219"/>
      <c r="F88" s="220"/>
      <c r="G88" s="221"/>
      <c r="H88" s="221"/>
      <c r="J88" s="220"/>
      <c r="K88" s="221"/>
      <c r="L88" s="221"/>
      <c r="M88" s="219"/>
      <c r="N88" s="220"/>
      <c r="O88" s="221"/>
      <c r="P88" s="221"/>
    </row>
    <row r="89" spans="2:16" ht="14.25">
      <c r="B89" s="220" t="s">
        <v>541</v>
      </c>
      <c r="C89" s="221">
        <f>'[1]B2C(BSC Data)'!$I$231</f>
        <v>30056</v>
      </c>
      <c r="D89" s="221">
        <v>0</v>
      </c>
      <c r="E89" s="219"/>
      <c r="F89" s="220"/>
      <c r="G89" s="221"/>
      <c r="H89" s="221"/>
      <c r="J89" s="220"/>
      <c r="K89" s="221"/>
      <c r="L89" s="221"/>
      <c r="M89" s="219"/>
      <c r="N89" s="220"/>
      <c r="O89" s="221"/>
      <c r="P89" s="221"/>
    </row>
    <row r="90" spans="2:16" ht="14.25">
      <c r="B90" s="220" t="s">
        <v>542</v>
      </c>
      <c r="C90" s="221" t="s">
        <v>543</v>
      </c>
      <c r="D90" s="221" t="s">
        <v>543</v>
      </c>
      <c r="E90" s="219"/>
      <c r="F90" s="220"/>
      <c r="G90" s="221"/>
      <c r="H90" s="221"/>
      <c r="J90" s="220"/>
      <c r="K90" s="221"/>
      <c r="L90" s="221"/>
      <c r="M90" s="219"/>
      <c r="N90" s="220"/>
      <c r="O90" s="221"/>
      <c r="P90" s="221"/>
    </row>
    <row r="91" spans="2:16" ht="14.25">
      <c r="B91" s="220" t="s">
        <v>519</v>
      </c>
      <c r="C91" s="221">
        <f>'[1]B2C(BSC Data)'!$I$38</f>
        <v>30030</v>
      </c>
      <c r="D91" s="221" t="s">
        <v>520</v>
      </c>
      <c r="E91" s="219"/>
      <c r="F91" s="220"/>
      <c r="G91" s="221"/>
      <c r="H91" s="221"/>
      <c r="J91" s="220"/>
      <c r="K91" s="221"/>
      <c r="L91" s="221"/>
      <c r="M91" s="219"/>
      <c r="N91" s="220"/>
      <c r="O91" s="221"/>
      <c r="P91" s="221"/>
    </row>
    <row r="92" spans="2:16" ht="14.25">
      <c r="B92" s="221" t="s">
        <v>420</v>
      </c>
      <c r="C92" s="221"/>
      <c r="D92" s="221"/>
      <c r="E92" s="219"/>
      <c r="F92" s="220"/>
      <c r="G92" s="221"/>
      <c r="H92" s="221"/>
      <c r="J92" s="221"/>
      <c r="K92" s="221"/>
      <c r="L92" s="221"/>
      <c r="M92" s="219"/>
      <c r="N92" s="220"/>
      <c r="O92" s="221"/>
      <c r="P92" s="221"/>
    </row>
    <row r="93" spans="2:16" ht="14.25">
      <c r="B93" s="220" t="s">
        <v>521</v>
      </c>
      <c r="C93" s="221">
        <f>'[1]B2C(BSC Data)'!$I$38</f>
        <v>30030</v>
      </c>
      <c r="D93" s="221" t="s">
        <v>516</v>
      </c>
      <c r="E93" s="219"/>
      <c r="F93" s="220"/>
      <c r="G93" s="221"/>
      <c r="H93" s="221"/>
      <c r="J93" s="220"/>
      <c r="K93" s="221"/>
      <c r="L93" s="221"/>
      <c r="M93" s="219"/>
      <c r="N93" s="220"/>
      <c r="O93" s="221"/>
      <c r="P93" s="221"/>
    </row>
    <row r="94" spans="2:16" ht="14.25">
      <c r="B94" s="220" t="s">
        <v>187</v>
      </c>
      <c r="C94" s="221">
        <f>'[1]B2C(BSC Data)'!$I$63</f>
        <v>30031</v>
      </c>
      <c r="D94" s="221" t="s">
        <v>516</v>
      </c>
      <c r="E94" s="219"/>
      <c r="F94" s="220"/>
      <c r="G94" s="221"/>
      <c r="H94" s="221"/>
      <c r="J94" s="220"/>
      <c r="K94" s="221"/>
      <c r="L94" s="221"/>
      <c r="M94" s="219"/>
      <c r="N94" s="220"/>
      <c r="O94" s="221"/>
      <c r="P94" s="221"/>
    </row>
    <row r="98" spans="2:16" ht="15">
      <c r="B98" s="217" t="s">
        <v>555</v>
      </c>
      <c r="C98" s="64"/>
      <c r="D98" s="64"/>
      <c r="E98" s="64"/>
      <c r="F98" s="64"/>
      <c r="G98" s="64"/>
      <c r="H98" s="64"/>
      <c r="J98" s="217" t="s">
        <v>556</v>
      </c>
      <c r="K98" s="64"/>
      <c r="L98" s="64"/>
      <c r="M98" s="64"/>
      <c r="N98" s="64"/>
      <c r="O98" s="64"/>
      <c r="P98" s="64"/>
    </row>
    <row r="99" spans="2:16" ht="14.25">
      <c r="B99" s="218" t="s">
        <v>505</v>
      </c>
      <c r="C99" s="218" t="s">
        <v>506</v>
      </c>
      <c r="D99" s="218" t="s">
        <v>507</v>
      </c>
      <c r="E99" s="219"/>
      <c r="F99" s="218" t="s">
        <v>85</v>
      </c>
      <c r="G99" s="218" t="s">
        <v>506</v>
      </c>
      <c r="H99" s="218" t="s">
        <v>507</v>
      </c>
      <c r="J99" s="218" t="s">
        <v>505</v>
      </c>
      <c r="K99" s="218" t="s">
        <v>506</v>
      </c>
      <c r="L99" s="218" t="s">
        <v>507</v>
      </c>
      <c r="M99" s="219"/>
      <c r="N99" s="218" t="s">
        <v>85</v>
      </c>
      <c r="O99" s="218" t="s">
        <v>506</v>
      </c>
      <c r="P99" s="218" t="s">
        <v>507</v>
      </c>
    </row>
    <row r="100" spans="2:16" ht="14.25">
      <c r="B100" s="220" t="s">
        <v>554</v>
      </c>
      <c r="C100" s="221">
        <f>'[1]B2C(BSC Data)'!$I$68</f>
        <v>30036</v>
      </c>
      <c r="D100" s="221" t="s">
        <v>512</v>
      </c>
      <c r="E100" s="219"/>
      <c r="F100" s="220"/>
      <c r="G100" s="221"/>
      <c r="H100" s="221"/>
      <c r="J100" s="220"/>
      <c r="K100" s="221"/>
      <c r="L100" s="221"/>
      <c r="M100" s="219"/>
      <c r="N100" s="220" t="s">
        <v>557</v>
      </c>
      <c r="O100" s="221">
        <f>'[1]C2B(Controller Data)'!$I$19</f>
        <v>40010</v>
      </c>
      <c r="P100" s="222" t="s">
        <v>535</v>
      </c>
    </row>
    <row r="101" spans="2:16" ht="14.25">
      <c r="B101" s="220"/>
      <c r="C101" s="221"/>
      <c r="D101" s="221"/>
      <c r="E101" s="219"/>
      <c r="F101" s="220" t="s">
        <v>557</v>
      </c>
      <c r="G101" s="221">
        <f>'[1]C2B(Controller Data)'!$I$19</f>
        <v>40010</v>
      </c>
      <c r="H101" s="222" t="s">
        <v>535</v>
      </c>
      <c r="J101" s="220" t="s">
        <v>536</v>
      </c>
      <c r="K101" s="221">
        <f>'[1]B2C(BSC Data)'!$I$38</f>
        <v>30030</v>
      </c>
      <c r="L101" s="224" t="s">
        <v>537</v>
      </c>
      <c r="M101" s="219"/>
      <c r="N101" s="220"/>
      <c r="O101" s="221"/>
      <c r="P101" s="221"/>
    </row>
    <row r="102" spans="2:16" ht="14.25">
      <c r="B102" s="220"/>
      <c r="C102" s="221"/>
      <c r="D102" s="221"/>
      <c r="E102" s="219"/>
      <c r="F102" s="220"/>
      <c r="G102" s="221"/>
      <c r="H102" s="221"/>
      <c r="J102" s="220" t="s">
        <v>514</v>
      </c>
      <c r="K102" s="221"/>
      <c r="L102" s="221"/>
      <c r="M102" s="219"/>
      <c r="N102" s="220" t="s">
        <v>515</v>
      </c>
      <c r="O102" s="221">
        <f>'[1]C2B(Controller Data)'!$I$19</f>
        <v>40010</v>
      </c>
      <c r="P102" s="221" t="s">
        <v>516</v>
      </c>
    </row>
    <row r="103" spans="2:16" ht="14.25">
      <c r="B103" s="220" t="s">
        <v>510</v>
      </c>
      <c r="C103" s="221">
        <f>'[1]B2C(BSC Data)'!$I$38</f>
        <v>30030</v>
      </c>
      <c r="D103" s="223" t="s">
        <v>509</v>
      </c>
      <c r="E103" s="219"/>
      <c r="F103" s="220"/>
      <c r="G103" s="221"/>
      <c r="H103" s="221"/>
      <c r="J103" s="220"/>
      <c r="K103" s="221"/>
      <c r="L103" s="221"/>
      <c r="M103" s="219"/>
      <c r="N103" s="220"/>
      <c r="O103" s="221"/>
      <c r="P103" s="221"/>
    </row>
    <row r="104" spans="2:16" ht="14.25">
      <c r="B104" s="220" t="s">
        <v>538</v>
      </c>
      <c r="C104" s="221">
        <f>'[1]B2C(BSC Data)'!$I$63</f>
        <v>30031</v>
      </c>
      <c r="D104" s="222" t="s">
        <v>535</v>
      </c>
      <c r="E104" s="219"/>
      <c r="F104" s="220"/>
      <c r="G104" s="221"/>
      <c r="H104" s="221"/>
      <c r="J104" s="220"/>
      <c r="K104" s="221"/>
      <c r="L104" s="221"/>
      <c r="M104" s="219"/>
      <c r="N104" s="220"/>
      <c r="O104" s="221"/>
      <c r="P104" s="221"/>
    </row>
    <row r="105" spans="2:16" ht="14.25">
      <c r="B105" s="221" t="s">
        <v>420</v>
      </c>
      <c r="C105" s="221"/>
      <c r="D105" s="221"/>
      <c r="E105" s="219"/>
      <c r="F105" s="220" t="s">
        <v>515</v>
      </c>
      <c r="G105" s="221">
        <f>'[1]C2B(Controller Data)'!$I$19</f>
        <v>40010</v>
      </c>
      <c r="H105" s="221" t="s">
        <v>516</v>
      </c>
      <c r="J105" s="221"/>
      <c r="K105" s="221"/>
      <c r="L105" s="221"/>
      <c r="M105" s="219"/>
      <c r="N105" s="220"/>
      <c r="O105" s="221"/>
      <c r="P105" s="221"/>
    </row>
    <row r="106" spans="2:16" ht="14.25">
      <c r="B106" s="220" t="s">
        <v>539</v>
      </c>
      <c r="C106" s="221">
        <f>'[1]B2C(BSC Data)'!$I$93</f>
        <v>30038</v>
      </c>
      <c r="D106" s="221">
        <v>0</v>
      </c>
      <c r="E106" s="219"/>
      <c r="F106" s="220"/>
      <c r="G106" s="221"/>
      <c r="H106" s="221"/>
      <c r="J106" s="220"/>
      <c r="K106" s="221"/>
      <c r="L106" s="221"/>
      <c r="M106" s="219"/>
      <c r="N106" s="220"/>
      <c r="O106" s="221"/>
      <c r="P106" s="221"/>
    </row>
    <row r="107" spans="2:16" ht="14.25">
      <c r="B107" s="220" t="s">
        <v>540</v>
      </c>
      <c r="C107" s="221">
        <f>'[1]B2C(BSC Data)'!$I$230</f>
        <v>30055</v>
      </c>
      <c r="D107" s="221">
        <v>0</v>
      </c>
      <c r="E107" s="219"/>
      <c r="F107" s="220"/>
      <c r="G107" s="221"/>
      <c r="H107" s="221"/>
      <c r="J107" s="220"/>
      <c r="K107" s="221"/>
      <c r="L107" s="221"/>
      <c r="M107" s="219"/>
      <c r="N107" s="220"/>
      <c r="O107" s="221"/>
      <c r="P107" s="221"/>
    </row>
    <row r="108" spans="2:16" ht="14.25">
      <c r="B108" s="220" t="s">
        <v>541</v>
      </c>
      <c r="C108" s="221">
        <f>'[1]B2C(BSC Data)'!$I$231</f>
        <v>30056</v>
      </c>
      <c r="D108" s="221">
        <v>0</v>
      </c>
      <c r="E108" s="219"/>
      <c r="F108" s="220"/>
      <c r="G108" s="221"/>
      <c r="H108" s="221"/>
      <c r="J108" s="220"/>
      <c r="K108" s="221"/>
      <c r="L108" s="221"/>
      <c r="M108" s="219"/>
      <c r="N108" s="220"/>
      <c r="O108" s="221"/>
      <c r="P108" s="221"/>
    </row>
    <row r="109" spans="2:16" ht="14.25">
      <c r="B109" s="220" t="s">
        <v>542</v>
      </c>
      <c r="C109" s="221" t="s">
        <v>543</v>
      </c>
      <c r="D109" s="221">
        <v>0</v>
      </c>
      <c r="E109" s="219"/>
      <c r="F109" s="220"/>
      <c r="G109" s="221"/>
      <c r="H109" s="221"/>
      <c r="J109" s="220"/>
      <c r="K109" s="221"/>
      <c r="L109" s="221"/>
      <c r="M109" s="219"/>
      <c r="N109" s="220"/>
      <c r="O109" s="221"/>
      <c r="P109" s="221"/>
    </row>
    <row r="110" spans="2:16" ht="14.25">
      <c r="B110" s="220" t="s">
        <v>519</v>
      </c>
      <c r="C110" s="221">
        <f>'[1]B2C(BSC Data)'!$I$38</f>
        <v>30030</v>
      </c>
      <c r="D110" s="221" t="s">
        <v>520</v>
      </c>
      <c r="E110" s="219"/>
      <c r="F110" s="220"/>
      <c r="G110" s="221"/>
      <c r="H110" s="221"/>
      <c r="J110" s="220"/>
      <c r="K110" s="221"/>
      <c r="L110" s="221"/>
      <c r="M110" s="219"/>
      <c r="N110" s="220"/>
      <c r="O110" s="221"/>
      <c r="P110" s="221"/>
    </row>
    <row r="111" spans="2:16" ht="14.25">
      <c r="B111" s="221" t="s">
        <v>420</v>
      </c>
      <c r="C111" s="221"/>
      <c r="D111" s="221"/>
      <c r="E111" s="219"/>
      <c r="F111" s="220"/>
      <c r="G111" s="221"/>
      <c r="H111" s="221"/>
      <c r="J111" s="221"/>
      <c r="K111" s="221"/>
      <c r="L111" s="221"/>
      <c r="M111" s="219"/>
      <c r="N111" s="220"/>
      <c r="O111" s="221"/>
      <c r="P111" s="221"/>
    </row>
    <row r="112" spans="2:16" ht="14.25">
      <c r="B112" s="220" t="s">
        <v>521</v>
      </c>
      <c r="C112" s="221">
        <f>'[1]B2C(BSC Data)'!$I$38</f>
        <v>30030</v>
      </c>
      <c r="D112" s="221" t="s">
        <v>516</v>
      </c>
      <c r="E112" s="219"/>
      <c r="F112" s="220"/>
      <c r="G112" s="221"/>
      <c r="H112" s="221"/>
      <c r="J112" s="220"/>
      <c r="K112" s="221"/>
      <c r="L112" s="221"/>
      <c r="M112" s="219"/>
      <c r="N112" s="220"/>
      <c r="O112" s="221"/>
      <c r="P112" s="221"/>
    </row>
    <row r="113" spans="2:16" ht="14.25">
      <c r="B113" s="220" t="s">
        <v>187</v>
      </c>
      <c r="C113" s="221">
        <f>'[1]B2C(BSC Data)'!$I$63</f>
        <v>30031</v>
      </c>
      <c r="D113" s="221" t="s">
        <v>516</v>
      </c>
      <c r="E113" s="219"/>
      <c r="F113" s="220"/>
      <c r="G113" s="221"/>
      <c r="H113" s="221"/>
      <c r="J113" s="220"/>
      <c r="K113" s="221"/>
      <c r="L113" s="221"/>
      <c r="M113" s="219"/>
      <c r="N113" s="220"/>
      <c r="O113" s="221"/>
      <c r="P113" s="221"/>
    </row>
    <row r="118" spans="2:16" ht="15">
      <c r="B118" s="217" t="s">
        <v>558</v>
      </c>
      <c r="C118" s="64"/>
      <c r="D118" s="64"/>
      <c r="E118" s="64"/>
      <c r="F118" s="64"/>
      <c r="G118" s="64"/>
      <c r="H118" s="64"/>
      <c r="J118" s="217" t="s">
        <v>558</v>
      </c>
      <c r="K118" s="64"/>
      <c r="L118" s="64"/>
      <c r="M118" s="64"/>
      <c r="N118" s="64"/>
      <c r="O118" s="64"/>
      <c r="P118" s="64"/>
    </row>
    <row r="119" spans="2:16" ht="14.25">
      <c r="B119" s="218" t="s">
        <v>505</v>
      </c>
      <c r="C119" s="218" t="s">
        <v>506</v>
      </c>
      <c r="D119" s="218" t="s">
        <v>507</v>
      </c>
      <c r="E119" s="219"/>
      <c r="F119" s="218" t="s">
        <v>85</v>
      </c>
      <c r="G119" s="218" t="s">
        <v>506</v>
      </c>
      <c r="H119" s="218" t="s">
        <v>507</v>
      </c>
      <c r="J119" s="218" t="s">
        <v>505</v>
      </c>
      <c r="K119" s="218" t="s">
        <v>506</v>
      </c>
      <c r="L119" s="218" t="s">
        <v>507</v>
      </c>
      <c r="M119" s="219"/>
      <c r="N119" s="218" t="s">
        <v>85</v>
      </c>
      <c r="O119" s="218" t="s">
        <v>506</v>
      </c>
      <c r="P119" s="218" t="s">
        <v>507</v>
      </c>
    </row>
    <row r="120" spans="2:16" ht="14.25">
      <c r="B120" s="220" t="s">
        <v>554</v>
      </c>
      <c r="C120" s="221">
        <f>'[1]B2C(BSC Data)'!$I$68</f>
        <v>30036</v>
      </c>
      <c r="D120" s="221" t="s">
        <v>512</v>
      </c>
      <c r="E120" s="219"/>
      <c r="F120" s="221"/>
      <c r="G120" s="221"/>
      <c r="H120" s="221"/>
      <c r="J120" s="220"/>
      <c r="K120" s="221"/>
      <c r="L120" s="221"/>
      <c r="M120" s="219"/>
      <c r="N120" s="220" t="s">
        <v>559</v>
      </c>
      <c r="O120" s="221">
        <f>'[1]C2B(Controller Data)'!$I$19</f>
        <v>40010</v>
      </c>
      <c r="P120" s="222" t="s">
        <v>512</v>
      </c>
    </row>
    <row r="121" spans="2:16" ht="14.25">
      <c r="B121" s="220"/>
      <c r="C121" s="221"/>
      <c r="D121" s="221"/>
      <c r="E121" s="219"/>
      <c r="F121" s="220" t="s">
        <v>559</v>
      </c>
      <c r="G121" s="221">
        <f>'[1]C2B(Controller Data)'!$I$19</f>
        <v>40010</v>
      </c>
      <c r="H121" s="222" t="s">
        <v>512</v>
      </c>
      <c r="J121" s="220" t="s">
        <v>560</v>
      </c>
      <c r="K121" s="221">
        <f>'[1]B2C(BSC Data)'!$I$38</f>
        <v>30030</v>
      </c>
      <c r="L121" s="225" t="s">
        <v>561</v>
      </c>
      <c r="M121" s="219"/>
      <c r="N121" s="220"/>
      <c r="O121" s="221"/>
      <c r="P121" s="221"/>
    </row>
    <row r="122" spans="2:16" ht="14.25">
      <c r="B122" s="220"/>
      <c r="C122" s="221"/>
      <c r="D122" s="221"/>
      <c r="E122" s="219"/>
      <c r="F122" s="220" t="s">
        <v>562</v>
      </c>
      <c r="G122" s="221">
        <f>'[1]C2B(Controller Data)'!I35</f>
        <v>40011</v>
      </c>
      <c r="H122" s="221" t="s">
        <v>550</v>
      </c>
      <c r="J122" s="220" t="s">
        <v>514</v>
      </c>
      <c r="K122" s="221"/>
      <c r="L122" s="221"/>
      <c r="M122" s="219"/>
      <c r="N122" s="220" t="s">
        <v>515</v>
      </c>
      <c r="O122" s="221">
        <f>'[1]C2B(Controller Data)'!$I$19</f>
        <v>40010</v>
      </c>
      <c r="P122" s="221" t="s">
        <v>516</v>
      </c>
    </row>
    <row r="123" spans="2:16" ht="14.25">
      <c r="B123" s="220"/>
      <c r="C123" s="221"/>
      <c r="D123" s="221"/>
      <c r="E123" s="219"/>
      <c r="F123" s="220"/>
      <c r="G123" s="221">
        <f>'[1]C2B(Controller Data)'!I36</f>
        <v>40012</v>
      </c>
      <c r="H123" s="221" t="s">
        <v>550</v>
      </c>
      <c r="J123" s="220"/>
      <c r="K123" s="221"/>
      <c r="L123" s="221"/>
      <c r="M123" s="219"/>
      <c r="N123" s="220"/>
      <c r="O123" s="221"/>
      <c r="P123" s="221"/>
    </row>
    <row r="124" spans="2:16" ht="14.25">
      <c r="B124" s="220"/>
      <c r="C124" s="221"/>
      <c r="D124" s="221"/>
      <c r="E124" s="219"/>
      <c r="F124" s="220"/>
      <c r="G124" s="221" t="s">
        <v>543</v>
      </c>
      <c r="H124" s="221" t="s">
        <v>543</v>
      </c>
      <c r="J124" s="220"/>
      <c r="K124" s="221"/>
      <c r="L124" s="221"/>
      <c r="M124" s="219"/>
      <c r="N124" s="220"/>
      <c r="O124" s="221"/>
      <c r="P124" s="221"/>
    </row>
    <row r="125" spans="2:16" ht="14.25">
      <c r="B125" s="220" t="s">
        <v>563</v>
      </c>
      <c r="C125" s="221">
        <f>'[1]B2C(BSC Data)'!$I$38</f>
        <v>30030</v>
      </c>
      <c r="D125" s="223" t="s">
        <v>509</v>
      </c>
      <c r="E125" s="219"/>
      <c r="F125" s="220"/>
      <c r="G125" s="221"/>
      <c r="H125" s="221"/>
      <c r="J125" s="220"/>
      <c r="K125" s="221"/>
      <c r="L125" s="221"/>
      <c r="M125" s="219"/>
      <c r="N125" s="220"/>
      <c r="O125" s="221"/>
      <c r="P125" s="221"/>
    </row>
    <row r="126" spans="2:16" ht="14.25">
      <c r="B126" s="220" t="s">
        <v>548</v>
      </c>
      <c r="C126" s="221">
        <f>'[1]B2C(BSC Data)'!$I$63</f>
        <v>30031</v>
      </c>
      <c r="D126" s="222" t="s">
        <v>512</v>
      </c>
      <c r="E126" s="219"/>
      <c r="F126" s="220"/>
      <c r="G126" s="221"/>
      <c r="H126" s="221"/>
      <c r="J126" s="220"/>
      <c r="K126" s="221"/>
      <c r="L126" s="221"/>
      <c r="M126" s="219"/>
      <c r="N126" s="220"/>
      <c r="O126" s="221"/>
      <c r="P126" s="221"/>
    </row>
    <row r="127" spans="2:16" ht="14.25">
      <c r="B127" s="221" t="s">
        <v>420</v>
      </c>
      <c r="C127" s="221"/>
      <c r="D127" s="221"/>
      <c r="E127" s="219"/>
      <c r="F127" s="220" t="s">
        <v>515</v>
      </c>
      <c r="G127" s="221">
        <f>'[1]C2B(Controller Data)'!$I$19</f>
        <v>40010</v>
      </c>
      <c r="H127" s="221" t="s">
        <v>516</v>
      </c>
      <c r="J127" s="221"/>
      <c r="K127" s="221"/>
      <c r="L127" s="221"/>
      <c r="M127" s="219"/>
      <c r="N127" s="220"/>
      <c r="O127" s="221"/>
      <c r="P127" s="221"/>
    </row>
    <row r="128" spans="2:16" ht="14.25">
      <c r="B128" s="220" t="s">
        <v>549</v>
      </c>
      <c r="C128" s="221">
        <f>'[1]B2C(BSC Data)'!$I$93</f>
        <v>30038</v>
      </c>
      <c r="D128" s="221" t="s">
        <v>550</v>
      </c>
      <c r="E128" s="219"/>
      <c r="F128" s="220" t="s">
        <v>562</v>
      </c>
      <c r="G128" s="221">
        <f>'[1]C2B(Controller Data)'!I35</f>
        <v>40011</v>
      </c>
      <c r="H128" s="221">
        <v>0</v>
      </c>
      <c r="J128" s="220"/>
      <c r="K128" s="221"/>
      <c r="L128" s="221"/>
      <c r="M128" s="219"/>
      <c r="N128" s="220"/>
      <c r="O128" s="221"/>
      <c r="P128" s="221"/>
    </row>
    <row r="129" spans="2:16" ht="14.25">
      <c r="B129" s="220" t="s">
        <v>540</v>
      </c>
      <c r="C129" s="221">
        <f>'[1]B2C(BSC Data)'!$I$230</f>
        <v>30055</v>
      </c>
      <c r="D129" s="221" t="s">
        <v>550</v>
      </c>
      <c r="E129" s="219"/>
      <c r="F129" s="220"/>
      <c r="G129" s="221">
        <f>'[1]C2B(Controller Data)'!I36</f>
        <v>40012</v>
      </c>
      <c r="H129" s="221">
        <v>0</v>
      </c>
      <c r="J129" s="220"/>
      <c r="K129" s="221"/>
      <c r="L129" s="221"/>
      <c r="M129" s="219"/>
      <c r="N129" s="220"/>
      <c r="O129" s="221"/>
      <c r="P129" s="221"/>
    </row>
    <row r="130" spans="2:16" ht="14.25">
      <c r="B130" s="220" t="s">
        <v>541</v>
      </c>
      <c r="C130" s="221">
        <f>'[1]B2C(BSC Data)'!$I$231</f>
        <v>30056</v>
      </c>
      <c r="D130" s="221" t="s">
        <v>550</v>
      </c>
      <c r="E130" s="219"/>
      <c r="F130" s="220"/>
      <c r="G130" s="221" t="s">
        <v>543</v>
      </c>
      <c r="H130" s="221" t="s">
        <v>543</v>
      </c>
      <c r="J130" s="220"/>
      <c r="K130" s="221"/>
      <c r="L130" s="221"/>
      <c r="M130" s="219"/>
      <c r="N130" s="220"/>
      <c r="O130" s="221"/>
      <c r="P130" s="221"/>
    </row>
    <row r="131" spans="2:16" ht="14.25">
      <c r="B131" s="220" t="s">
        <v>542</v>
      </c>
      <c r="C131" s="221" t="s">
        <v>543</v>
      </c>
      <c r="D131" s="221" t="s">
        <v>543</v>
      </c>
      <c r="E131" s="219"/>
      <c r="F131" s="220"/>
      <c r="G131" s="221"/>
      <c r="H131" s="221"/>
      <c r="J131" s="220"/>
      <c r="K131" s="221"/>
      <c r="L131" s="221"/>
      <c r="M131" s="219"/>
      <c r="N131" s="220"/>
      <c r="O131" s="221"/>
      <c r="P131" s="221"/>
    </row>
    <row r="132" spans="2:16" ht="14.25">
      <c r="B132" s="220" t="s">
        <v>519</v>
      </c>
      <c r="C132" s="221">
        <f>'[1]B2C(BSC Data)'!$I$38</f>
        <v>30030</v>
      </c>
      <c r="D132" s="221" t="s">
        <v>520</v>
      </c>
      <c r="E132" s="219"/>
      <c r="F132" s="220"/>
      <c r="G132" s="221"/>
      <c r="H132" s="221"/>
      <c r="J132" s="220"/>
      <c r="K132" s="221"/>
      <c r="L132" s="221"/>
      <c r="M132" s="219"/>
      <c r="N132" s="220"/>
      <c r="O132" s="221"/>
      <c r="P132" s="221"/>
    </row>
    <row r="133" spans="2:16" ht="14.25">
      <c r="B133" s="221" t="s">
        <v>420</v>
      </c>
      <c r="C133" s="221"/>
      <c r="D133" s="221"/>
      <c r="E133" s="219"/>
      <c r="F133" s="220"/>
      <c r="G133" s="221"/>
      <c r="H133" s="221"/>
      <c r="J133" s="221"/>
      <c r="K133" s="221"/>
      <c r="L133" s="221"/>
      <c r="M133" s="219"/>
      <c r="N133" s="220"/>
      <c r="O133" s="221"/>
      <c r="P133" s="221"/>
    </row>
    <row r="134" spans="2:16" ht="14.25">
      <c r="B134" s="220" t="s">
        <v>521</v>
      </c>
      <c r="C134" s="221">
        <f>'[1]B2C(BSC Data)'!$I$38</f>
        <v>30030</v>
      </c>
      <c r="D134" s="221" t="s">
        <v>516</v>
      </c>
      <c r="E134" s="219"/>
      <c r="F134" s="220"/>
      <c r="G134" s="221"/>
      <c r="H134" s="221"/>
      <c r="J134" s="220"/>
      <c r="K134" s="221"/>
      <c r="L134" s="221"/>
      <c r="M134" s="219"/>
      <c r="N134" s="220"/>
      <c r="O134" s="221"/>
      <c r="P134" s="221"/>
    </row>
    <row r="135" spans="2:16" ht="14.25">
      <c r="B135" s="220" t="s">
        <v>187</v>
      </c>
      <c r="C135" s="221">
        <f>'[1]B2C(BSC Data)'!$I$63</f>
        <v>30031</v>
      </c>
      <c r="D135" s="221" t="s">
        <v>516</v>
      </c>
      <c r="E135" s="219"/>
      <c r="F135" s="220"/>
      <c r="G135" s="221"/>
      <c r="H135" s="221"/>
      <c r="J135" s="220"/>
      <c r="K135" s="221"/>
      <c r="L135" s="221"/>
      <c r="M135" s="219"/>
      <c r="N135" s="220"/>
      <c r="O135" s="221"/>
      <c r="P135" s="221"/>
    </row>
    <row r="139" spans="2:16" ht="15">
      <c r="B139" s="217" t="s">
        <v>564</v>
      </c>
      <c r="C139" s="64"/>
      <c r="D139" s="64"/>
      <c r="E139" s="64"/>
      <c r="F139" s="64"/>
      <c r="G139" s="64"/>
      <c r="H139" s="64"/>
      <c r="J139" s="217" t="s">
        <v>564</v>
      </c>
      <c r="K139" s="64"/>
      <c r="L139" s="64"/>
      <c r="M139" s="64"/>
      <c r="N139" s="64"/>
      <c r="O139" s="64"/>
      <c r="P139" s="64"/>
    </row>
    <row r="140" spans="2:16" ht="14.25">
      <c r="B140" s="218" t="s">
        <v>505</v>
      </c>
      <c r="C140" s="218" t="s">
        <v>506</v>
      </c>
      <c r="D140" s="218" t="s">
        <v>507</v>
      </c>
      <c r="E140" s="219"/>
      <c r="F140" s="218" t="s">
        <v>85</v>
      </c>
      <c r="G140" s="218" t="s">
        <v>506</v>
      </c>
      <c r="H140" s="218" t="s">
        <v>507</v>
      </c>
      <c r="J140" s="218" t="s">
        <v>505</v>
      </c>
      <c r="K140" s="218" t="s">
        <v>506</v>
      </c>
      <c r="L140" s="218" t="s">
        <v>507</v>
      </c>
      <c r="M140" s="219"/>
      <c r="N140" s="218" t="s">
        <v>85</v>
      </c>
      <c r="O140" s="218" t="s">
        <v>506</v>
      </c>
      <c r="P140" s="218" t="s">
        <v>507</v>
      </c>
    </row>
    <row r="141" spans="2:16" ht="14.25">
      <c r="B141" s="220"/>
      <c r="C141" s="221"/>
      <c r="D141" s="221"/>
      <c r="E141" s="219"/>
      <c r="F141" s="220" t="s">
        <v>565</v>
      </c>
      <c r="G141" s="221">
        <f>'[1]C2B(Controller Data)'!$I$19</f>
        <v>40010</v>
      </c>
      <c r="H141" s="222" t="s">
        <v>566</v>
      </c>
      <c r="J141" s="220"/>
      <c r="K141" s="221"/>
      <c r="L141" s="221"/>
      <c r="M141" s="219"/>
      <c r="N141" s="220" t="s">
        <v>565</v>
      </c>
      <c r="O141" s="221">
        <f>'[1]C2B(Controller Data)'!$I$19</f>
        <v>40010</v>
      </c>
      <c r="P141" s="222" t="s">
        <v>566</v>
      </c>
    </row>
    <row r="142" spans="2:16" ht="14.25">
      <c r="B142" s="220" t="s">
        <v>563</v>
      </c>
      <c r="C142" s="221">
        <f>'[1]B2C(BSC Data)'!$I$38</f>
        <v>30030</v>
      </c>
      <c r="D142" s="223" t="s">
        <v>509</v>
      </c>
      <c r="E142" s="219"/>
      <c r="F142" s="220"/>
      <c r="G142" s="221"/>
      <c r="H142" s="221"/>
      <c r="J142" s="220" t="s">
        <v>529</v>
      </c>
      <c r="K142" s="221">
        <f>'[1]B2C(BSC Data)'!$I$38</f>
        <v>30030</v>
      </c>
      <c r="L142" s="224" t="s">
        <v>530</v>
      </c>
      <c r="M142" s="219"/>
      <c r="N142" s="220"/>
      <c r="O142" s="221"/>
      <c r="P142" s="221"/>
    </row>
    <row r="143" spans="2:16" ht="14.25">
      <c r="B143" s="220" t="s">
        <v>567</v>
      </c>
      <c r="C143" s="221">
        <f>'[1]B2C(BSC Data)'!$I$63</f>
        <v>30031</v>
      </c>
      <c r="D143" s="222" t="s">
        <v>566</v>
      </c>
      <c r="E143" s="219"/>
      <c r="F143" s="220"/>
      <c r="G143" s="221"/>
      <c r="H143" s="221"/>
      <c r="J143" s="220" t="s">
        <v>514</v>
      </c>
      <c r="K143" s="221"/>
      <c r="L143" s="221"/>
      <c r="M143" s="219"/>
      <c r="N143" s="220" t="s">
        <v>515</v>
      </c>
      <c r="O143" s="221">
        <f>'[1]C2B(Controller Data)'!$I$19</f>
        <v>40010</v>
      </c>
      <c r="P143" s="221" t="s">
        <v>516</v>
      </c>
    </row>
    <row r="144" spans="2:16" ht="14.25">
      <c r="B144" s="221" t="s">
        <v>420</v>
      </c>
      <c r="C144" s="221"/>
      <c r="D144" s="221"/>
      <c r="E144" s="219"/>
      <c r="F144" s="220" t="s">
        <v>515</v>
      </c>
      <c r="G144" s="221">
        <f>'[1]C2B(Controller Data)'!$I$19</f>
        <v>40010</v>
      </c>
      <c r="H144" s="221" t="s">
        <v>516</v>
      </c>
      <c r="J144" s="221"/>
      <c r="K144" s="221"/>
      <c r="L144" s="221"/>
      <c r="M144" s="219"/>
      <c r="N144" s="220"/>
      <c r="O144" s="221"/>
      <c r="P144" s="221"/>
    </row>
    <row r="145" spans="2:16" ht="14.25">
      <c r="B145" s="220" t="s">
        <v>568</v>
      </c>
      <c r="C145" s="221">
        <f>'[1]B2C(BSC Data)'!$I$68</f>
        <v>30036</v>
      </c>
      <c r="D145" s="221" t="s">
        <v>528</v>
      </c>
      <c r="E145" s="219"/>
      <c r="F145" s="220"/>
      <c r="G145" s="221"/>
      <c r="H145" s="221"/>
      <c r="J145" s="220"/>
      <c r="K145" s="221"/>
      <c r="L145" s="221"/>
      <c r="M145" s="219"/>
      <c r="N145" s="220"/>
      <c r="O145" s="221"/>
      <c r="P145" s="221"/>
    </row>
    <row r="146" spans="2:16" ht="14.25">
      <c r="B146" s="220" t="s">
        <v>519</v>
      </c>
      <c r="C146" s="221">
        <f>'[1]B2C(BSC Data)'!$I$38</f>
        <v>30030</v>
      </c>
      <c r="D146" s="221" t="s">
        <v>520</v>
      </c>
      <c r="E146" s="219"/>
      <c r="F146" s="220"/>
      <c r="G146" s="221"/>
      <c r="H146" s="221"/>
      <c r="J146" s="220"/>
      <c r="K146" s="221"/>
      <c r="L146" s="221"/>
      <c r="M146" s="219"/>
      <c r="N146" s="220"/>
      <c r="O146" s="221"/>
      <c r="P146" s="221"/>
    </row>
    <row r="147" spans="2:16" ht="14.25">
      <c r="B147" s="221" t="s">
        <v>420</v>
      </c>
      <c r="C147" s="221"/>
      <c r="D147" s="221"/>
      <c r="E147" s="219"/>
      <c r="F147" s="220"/>
      <c r="G147" s="221"/>
      <c r="H147" s="221"/>
      <c r="J147" s="221"/>
      <c r="K147" s="221"/>
      <c r="L147" s="221"/>
      <c r="M147" s="219"/>
      <c r="N147" s="220"/>
      <c r="O147" s="221"/>
      <c r="P147" s="221"/>
    </row>
    <row r="148" spans="2:16" ht="14.25">
      <c r="B148" s="220" t="s">
        <v>521</v>
      </c>
      <c r="C148" s="221">
        <f>'[1]B2C(BSC Data)'!$I$38</f>
        <v>30030</v>
      </c>
      <c r="D148" s="221" t="s">
        <v>516</v>
      </c>
      <c r="E148" s="219"/>
      <c r="F148" s="220"/>
      <c r="G148" s="221"/>
      <c r="H148" s="221"/>
      <c r="J148" s="220"/>
      <c r="K148" s="221"/>
      <c r="L148" s="221"/>
      <c r="M148" s="219"/>
      <c r="N148" s="220"/>
      <c r="O148" s="221"/>
      <c r="P148" s="221"/>
    </row>
    <row r="149" spans="2:16" ht="14.25">
      <c r="B149" s="220" t="s">
        <v>187</v>
      </c>
      <c r="C149" s="221">
        <f>'[1]B2C(BSC Data)'!$I$63</f>
        <v>30031</v>
      </c>
      <c r="D149" s="221" t="s">
        <v>516</v>
      </c>
      <c r="E149" s="219"/>
      <c r="F149" s="220"/>
      <c r="G149" s="221"/>
      <c r="H149" s="221"/>
      <c r="J149" s="220"/>
      <c r="K149" s="221"/>
      <c r="L149" s="221"/>
      <c r="M149" s="219"/>
      <c r="N149" s="220"/>
      <c r="O149" s="221"/>
      <c r="P149" s="221"/>
    </row>
    <row r="153" spans="2:16" ht="15">
      <c r="B153" s="217" t="s">
        <v>569</v>
      </c>
      <c r="C153" s="64"/>
      <c r="D153" s="64"/>
      <c r="E153" s="64"/>
      <c r="F153" s="64"/>
      <c r="G153" s="64"/>
      <c r="H153" s="64"/>
      <c r="J153" s="217" t="s">
        <v>569</v>
      </c>
      <c r="K153" s="64"/>
      <c r="L153" s="64"/>
      <c r="M153" s="64"/>
      <c r="N153" s="64"/>
      <c r="O153" s="64"/>
      <c r="P153" s="64"/>
    </row>
    <row r="154" spans="2:16" ht="14.25">
      <c r="B154" s="218" t="s">
        <v>505</v>
      </c>
      <c r="C154" s="218" t="s">
        <v>506</v>
      </c>
      <c r="D154" s="218" t="s">
        <v>507</v>
      </c>
      <c r="E154" s="219"/>
      <c r="F154" s="218" t="s">
        <v>85</v>
      </c>
      <c r="G154" s="218" t="s">
        <v>506</v>
      </c>
      <c r="H154" s="218" t="s">
        <v>507</v>
      </c>
      <c r="J154" s="218" t="s">
        <v>505</v>
      </c>
      <c r="K154" s="218" t="s">
        <v>506</v>
      </c>
      <c r="L154" s="218" t="s">
        <v>507</v>
      </c>
      <c r="M154" s="219"/>
      <c r="N154" s="218" t="s">
        <v>85</v>
      </c>
      <c r="O154" s="218" t="s">
        <v>506</v>
      </c>
      <c r="P154" s="218" t="s">
        <v>507</v>
      </c>
    </row>
    <row r="155" spans="2:16" ht="14.25">
      <c r="B155" s="220"/>
      <c r="C155" s="221"/>
      <c r="D155" s="221"/>
      <c r="E155" s="219"/>
      <c r="F155" s="220" t="s">
        <v>570</v>
      </c>
      <c r="G155" s="221">
        <f>'[1]C2B(Controller Data)'!$I$19</f>
        <v>40010</v>
      </c>
      <c r="H155" s="222" t="s">
        <v>571</v>
      </c>
      <c r="J155" s="220"/>
      <c r="K155" s="221"/>
      <c r="L155" s="221"/>
      <c r="M155" s="219"/>
      <c r="N155" s="220" t="s">
        <v>570</v>
      </c>
      <c r="O155" s="221">
        <f>'[1]C2B(Controller Data)'!$I$19</f>
        <v>40010</v>
      </c>
      <c r="P155" s="222" t="s">
        <v>571</v>
      </c>
    </row>
    <row r="156" spans="2:16" ht="14.25">
      <c r="B156" s="220" t="s">
        <v>563</v>
      </c>
      <c r="C156" s="221">
        <f>'[1]B2C(BSC Data)'!$I$38</f>
        <v>30030</v>
      </c>
      <c r="D156" s="223" t="s">
        <v>509</v>
      </c>
      <c r="E156" s="219"/>
      <c r="F156" s="220"/>
      <c r="G156" s="221"/>
      <c r="H156" s="221"/>
      <c r="J156" s="220" t="s">
        <v>572</v>
      </c>
      <c r="K156" s="221">
        <f>'[1]B2C(BSC Data)'!$I$38</f>
        <v>30030</v>
      </c>
      <c r="L156" s="224" t="s">
        <v>573</v>
      </c>
      <c r="M156" s="219"/>
      <c r="N156" s="220"/>
      <c r="O156" s="221"/>
      <c r="P156" s="221"/>
    </row>
    <row r="157" spans="2:16" ht="14.25">
      <c r="B157" s="220" t="s">
        <v>574</v>
      </c>
      <c r="C157" s="221">
        <f>'[1]B2C(BSC Data)'!$I$63</f>
        <v>30031</v>
      </c>
      <c r="D157" s="222" t="s">
        <v>571</v>
      </c>
      <c r="E157" s="219"/>
      <c r="F157" s="220"/>
      <c r="G157" s="221"/>
      <c r="H157" s="221"/>
      <c r="J157" s="220" t="s">
        <v>514</v>
      </c>
      <c r="K157" s="221"/>
      <c r="L157" s="221"/>
      <c r="M157" s="219"/>
      <c r="N157" s="220" t="s">
        <v>515</v>
      </c>
      <c r="O157" s="221">
        <f>'[1]C2B(Controller Data)'!$I$19</f>
        <v>40010</v>
      </c>
      <c r="P157" s="221" t="s">
        <v>516</v>
      </c>
    </row>
    <row r="158" spans="2:16" ht="14.25">
      <c r="B158" s="221" t="s">
        <v>420</v>
      </c>
      <c r="C158" s="221"/>
      <c r="D158" s="221"/>
      <c r="E158" s="219"/>
      <c r="F158" s="220" t="s">
        <v>515</v>
      </c>
      <c r="G158" s="221">
        <f>'[1]C2B(Controller Data)'!$I$19</f>
        <v>40010</v>
      </c>
      <c r="H158" s="221" t="s">
        <v>516</v>
      </c>
      <c r="J158" s="221"/>
      <c r="K158" s="221"/>
      <c r="L158" s="221"/>
      <c r="M158" s="219"/>
      <c r="N158" s="220"/>
      <c r="O158" s="221"/>
      <c r="P158" s="221"/>
    </row>
    <row r="159" spans="2:16" ht="14.25">
      <c r="B159" s="220" t="s">
        <v>575</v>
      </c>
      <c r="C159" s="221">
        <f>'[1]B2C(BSC Data)'!$I$77</f>
        <v>30037</v>
      </c>
      <c r="D159" s="221" t="s">
        <v>528</v>
      </c>
      <c r="E159" s="219"/>
      <c r="F159" s="220"/>
      <c r="G159" s="221"/>
      <c r="H159" s="221"/>
      <c r="J159" s="220"/>
      <c r="K159" s="221"/>
      <c r="L159" s="221"/>
      <c r="M159" s="219"/>
      <c r="N159" s="220"/>
      <c r="O159" s="221"/>
      <c r="P159" s="221"/>
    </row>
    <row r="160" spans="2:16" ht="14.25">
      <c r="B160" s="220" t="s">
        <v>519</v>
      </c>
      <c r="C160" s="221">
        <f>'[1]B2C(BSC Data)'!$I$38</f>
        <v>30030</v>
      </c>
      <c r="D160" s="221" t="s">
        <v>520</v>
      </c>
      <c r="E160" s="219"/>
      <c r="F160" s="220"/>
      <c r="G160" s="221"/>
      <c r="H160" s="221"/>
      <c r="J160" s="220"/>
      <c r="K160" s="221"/>
      <c r="L160" s="221"/>
      <c r="M160" s="219"/>
      <c r="N160" s="220"/>
      <c r="O160" s="221"/>
      <c r="P160" s="221"/>
    </row>
    <row r="161" spans="2:16" ht="14.25">
      <c r="B161" s="221" t="s">
        <v>420</v>
      </c>
      <c r="C161" s="221"/>
      <c r="D161" s="221"/>
      <c r="E161" s="219"/>
      <c r="F161" s="220"/>
      <c r="G161" s="221"/>
      <c r="H161" s="221"/>
      <c r="J161" s="221"/>
      <c r="K161" s="221"/>
      <c r="L161" s="221"/>
      <c r="M161" s="219"/>
      <c r="N161" s="220"/>
      <c r="O161" s="221"/>
      <c r="P161" s="221"/>
    </row>
    <row r="162" spans="2:16" ht="14.25">
      <c r="B162" s="220" t="s">
        <v>521</v>
      </c>
      <c r="C162" s="221">
        <f>'[1]B2C(BSC Data)'!$I$38</f>
        <v>30030</v>
      </c>
      <c r="D162" s="221" t="s">
        <v>516</v>
      </c>
      <c r="E162" s="219"/>
      <c r="F162" s="220"/>
      <c r="G162" s="221"/>
      <c r="H162" s="221"/>
      <c r="J162" s="220"/>
      <c r="K162" s="221"/>
      <c r="L162" s="221"/>
      <c r="M162" s="219"/>
      <c r="N162" s="220"/>
      <c r="O162" s="221"/>
      <c r="P162" s="221"/>
    </row>
    <row r="163" spans="2:16" ht="14.25">
      <c r="B163" s="220" t="s">
        <v>187</v>
      </c>
      <c r="C163" s="221">
        <f>'[1]B2C(BSC Data)'!$I$63</f>
        <v>30031</v>
      </c>
      <c r="D163" s="221" t="s">
        <v>516</v>
      </c>
      <c r="E163" s="219"/>
      <c r="F163" s="220"/>
      <c r="G163" s="221"/>
      <c r="H163" s="221"/>
      <c r="J163" s="220"/>
      <c r="K163" s="221"/>
      <c r="L163" s="221"/>
      <c r="M163" s="219"/>
      <c r="N163" s="220"/>
      <c r="O163" s="221"/>
      <c r="P163" s="221"/>
    </row>
    <row r="167" spans="2:16" ht="15">
      <c r="B167" s="217" t="s">
        <v>576</v>
      </c>
      <c r="C167" s="64"/>
      <c r="D167" s="64"/>
      <c r="E167" s="64"/>
      <c r="F167" s="64"/>
      <c r="G167" s="64"/>
      <c r="H167" s="64"/>
      <c r="J167" s="217" t="s">
        <v>576</v>
      </c>
      <c r="K167" s="64"/>
      <c r="L167" s="64"/>
      <c r="M167" s="64"/>
      <c r="N167" s="64"/>
      <c r="O167" s="64"/>
      <c r="P167" s="64"/>
    </row>
    <row r="168" spans="2:16" ht="14.25">
      <c r="B168" s="218" t="s">
        <v>505</v>
      </c>
      <c r="C168" s="218" t="s">
        <v>506</v>
      </c>
      <c r="D168" s="218" t="s">
        <v>507</v>
      </c>
      <c r="E168" s="219"/>
      <c r="F168" s="218" t="s">
        <v>85</v>
      </c>
      <c r="G168" s="218" t="s">
        <v>506</v>
      </c>
      <c r="H168" s="218" t="s">
        <v>507</v>
      </c>
      <c r="J168" s="218" t="s">
        <v>505</v>
      </c>
      <c r="K168" s="218" t="s">
        <v>506</v>
      </c>
      <c r="L168" s="218" t="s">
        <v>507</v>
      </c>
      <c r="M168" s="219"/>
      <c r="N168" s="218" t="s">
        <v>85</v>
      </c>
      <c r="O168" s="218" t="s">
        <v>506</v>
      </c>
      <c r="P168" s="218" t="s">
        <v>507</v>
      </c>
    </row>
    <row r="169" spans="2:16" ht="14.25">
      <c r="B169" s="220"/>
      <c r="C169" s="221"/>
      <c r="D169" s="221"/>
      <c r="E169" s="219"/>
      <c r="F169" s="220" t="s">
        <v>577</v>
      </c>
      <c r="G169" s="221">
        <f>'[1]C2B(Controller Data)'!I48</f>
        <v>40020</v>
      </c>
      <c r="H169" s="221" t="s">
        <v>550</v>
      </c>
      <c r="J169" s="220"/>
      <c r="K169" s="221"/>
      <c r="L169" s="221"/>
      <c r="M169" s="219"/>
      <c r="N169" s="220" t="s">
        <v>577</v>
      </c>
      <c r="O169" s="221">
        <f>'[1]C2B(Controller Data)'!I48</f>
        <v>40020</v>
      </c>
      <c r="P169" s="221" t="s">
        <v>550</v>
      </c>
    </row>
    <row r="170" spans="2:16" ht="14.25">
      <c r="B170" s="220"/>
      <c r="C170" s="221"/>
      <c r="D170" s="221"/>
      <c r="E170" s="219"/>
      <c r="F170" s="220"/>
      <c r="G170" s="221">
        <f>'[1]C2B(Controller Data)'!I49</f>
        <v>40021</v>
      </c>
      <c r="H170" s="221" t="s">
        <v>550</v>
      </c>
      <c r="J170" s="220"/>
      <c r="K170" s="221"/>
      <c r="L170" s="221"/>
      <c r="M170" s="219"/>
      <c r="N170" s="220"/>
      <c r="O170" s="221">
        <f>'[1]C2B(Controller Data)'!I49</f>
        <v>40021</v>
      </c>
      <c r="P170" s="221" t="s">
        <v>550</v>
      </c>
    </row>
    <row r="171" spans="2:16" ht="14.25">
      <c r="B171" s="220"/>
      <c r="C171" s="221"/>
      <c r="D171" s="221"/>
      <c r="E171" s="219"/>
      <c r="F171" s="220"/>
      <c r="G171" s="221" t="s">
        <v>543</v>
      </c>
      <c r="H171" s="221" t="s">
        <v>543</v>
      </c>
      <c r="J171" s="220"/>
      <c r="K171" s="221"/>
      <c r="L171" s="221"/>
      <c r="M171" s="219"/>
      <c r="N171" s="220"/>
      <c r="O171" s="221" t="s">
        <v>543</v>
      </c>
      <c r="P171" s="221" t="s">
        <v>543</v>
      </c>
    </row>
    <row r="172" spans="2:16" ht="14.25">
      <c r="B172" s="221"/>
      <c r="C172" s="221"/>
      <c r="D172" s="221"/>
      <c r="E172" s="219"/>
      <c r="F172" s="220" t="s">
        <v>522</v>
      </c>
      <c r="G172" s="221">
        <f>'[1]C2B(Controller Data)'!$I$19</f>
        <v>40010</v>
      </c>
      <c r="H172" s="222" t="s">
        <v>520</v>
      </c>
      <c r="J172" s="221"/>
      <c r="K172" s="221"/>
      <c r="L172" s="221"/>
      <c r="M172" s="219"/>
      <c r="N172" s="220" t="s">
        <v>522</v>
      </c>
      <c r="O172" s="221">
        <f>'[1]C2B(Controller Data)'!$I$19</f>
        <v>40010</v>
      </c>
      <c r="P172" s="222" t="s">
        <v>520</v>
      </c>
    </row>
    <row r="173" spans="2:16" ht="14.25">
      <c r="B173" s="220" t="s">
        <v>510</v>
      </c>
      <c r="C173" s="221">
        <f>'[1]B2C(BSC Data)'!$I$38</f>
        <v>30030</v>
      </c>
      <c r="D173" s="223" t="s">
        <v>509</v>
      </c>
      <c r="E173" s="219"/>
      <c r="F173" s="220"/>
      <c r="G173" s="221"/>
      <c r="H173" s="221"/>
      <c r="J173" s="220" t="s">
        <v>578</v>
      </c>
      <c r="K173" s="221">
        <f>'[1]B2C(BSC Data)'!$I$38</f>
        <v>30030</v>
      </c>
      <c r="L173" s="224" t="s">
        <v>579</v>
      </c>
      <c r="M173" s="219"/>
      <c r="N173" s="220"/>
      <c r="O173" s="221"/>
      <c r="P173" s="221"/>
    </row>
    <row r="174" spans="2:16" ht="14.25">
      <c r="B174" s="220" t="s">
        <v>524</v>
      </c>
      <c r="C174" s="221">
        <f>'[1]B2C(BSC Data)'!$I$63</f>
        <v>30031</v>
      </c>
      <c r="D174" s="222" t="s">
        <v>520</v>
      </c>
      <c r="E174" s="219"/>
      <c r="F174" s="220"/>
      <c r="G174" s="221"/>
      <c r="H174" s="221"/>
      <c r="J174" s="220" t="s">
        <v>514</v>
      </c>
      <c r="K174" s="221"/>
      <c r="L174" s="221"/>
      <c r="M174" s="219"/>
      <c r="N174" s="220" t="s">
        <v>515</v>
      </c>
      <c r="O174" s="221">
        <f>'[1]C2B(Controller Data)'!$I$19</f>
        <v>40010</v>
      </c>
      <c r="P174" s="221" t="s">
        <v>516</v>
      </c>
    </row>
    <row r="175" spans="2:16" ht="14.25">
      <c r="B175" s="221" t="s">
        <v>420</v>
      </c>
      <c r="C175" s="221"/>
      <c r="D175" s="221"/>
      <c r="E175" s="219"/>
      <c r="F175" s="220" t="s">
        <v>515</v>
      </c>
      <c r="G175" s="221">
        <f>'[1]C2B(Controller Data)'!$I$19</f>
        <v>40010</v>
      </c>
      <c r="H175" s="221" t="s">
        <v>516</v>
      </c>
      <c r="J175" s="221"/>
      <c r="K175" s="221"/>
      <c r="L175" s="221"/>
      <c r="M175" s="219"/>
      <c r="N175" s="220"/>
      <c r="O175" s="221"/>
      <c r="P175" s="221"/>
    </row>
    <row r="176" spans="2:16" ht="14.25">
      <c r="B176" s="220" t="s">
        <v>525</v>
      </c>
      <c r="C176" s="221">
        <f>'[1]B2C(BSC Data)'!$I$68</f>
        <v>30036</v>
      </c>
      <c r="D176" s="221" t="s">
        <v>520</v>
      </c>
      <c r="E176" s="219"/>
      <c r="F176" s="220"/>
      <c r="G176" s="221"/>
      <c r="H176" s="221"/>
      <c r="J176" s="220"/>
      <c r="K176" s="221"/>
      <c r="L176" s="221"/>
      <c r="M176" s="219"/>
      <c r="N176" s="220"/>
      <c r="O176" s="221"/>
      <c r="P176" s="221"/>
    </row>
    <row r="177" spans="2:16" ht="14.25">
      <c r="B177" s="220" t="s">
        <v>519</v>
      </c>
      <c r="C177" s="221">
        <f>'[1]B2C(BSC Data)'!$I$38</f>
        <v>30030</v>
      </c>
      <c r="D177" s="221" t="s">
        <v>520</v>
      </c>
      <c r="E177" s="219"/>
      <c r="F177" s="220"/>
      <c r="G177" s="221"/>
      <c r="H177" s="221"/>
      <c r="J177" s="220"/>
      <c r="K177" s="221"/>
      <c r="L177" s="221"/>
      <c r="M177" s="219"/>
      <c r="N177" s="220"/>
      <c r="O177" s="221"/>
      <c r="P177" s="221"/>
    </row>
    <row r="178" spans="2:16" ht="14.25">
      <c r="B178" s="221" t="s">
        <v>420</v>
      </c>
      <c r="C178" s="221"/>
      <c r="D178" s="221"/>
      <c r="F178" s="220"/>
      <c r="G178" s="221"/>
      <c r="H178" s="221"/>
      <c r="J178" s="220"/>
      <c r="K178" s="221"/>
      <c r="L178" s="221"/>
      <c r="M178" s="219"/>
      <c r="N178" s="220"/>
      <c r="O178" s="221"/>
      <c r="P178" s="221"/>
    </row>
    <row r="179" spans="2:16" ht="14.25">
      <c r="B179" s="220" t="s">
        <v>521</v>
      </c>
      <c r="C179" s="221">
        <f>'[1]B2C(BSC Data)'!$I$38</f>
        <v>30030</v>
      </c>
      <c r="D179" s="221" t="s">
        <v>516</v>
      </c>
      <c r="F179" s="220"/>
      <c r="G179" s="221"/>
      <c r="H179" s="221"/>
      <c r="J179" s="220"/>
      <c r="K179" s="221"/>
      <c r="L179" s="221"/>
      <c r="M179" s="219"/>
      <c r="N179" s="220"/>
      <c r="O179" s="221"/>
      <c r="P179" s="221"/>
    </row>
    <row r="180" spans="2:16" ht="14.25">
      <c r="B180" s="220" t="s">
        <v>187</v>
      </c>
      <c r="C180" s="221">
        <f>'[1]B2C(BSC Data)'!$I$63</f>
        <v>30031</v>
      </c>
      <c r="D180" s="221" t="s">
        <v>516</v>
      </c>
      <c r="F180" s="220"/>
      <c r="G180" s="221"/>
      <c r="H180" s="221"/>
      <c r="J180" s="220"/>
      <c r="K180" s="221"/>
      <c r="L180" s="221"/>
      <c r="M180" s="219"/>
      <c r="N180" s="220"/>
      <c r="O180" s="221"/>
      <c r="P180" s="221"/>
    </row>
  </sheetData>
  <mergeCells count="3">
    <mergeCell ref="B1:H1"/>
    <mergeCell ref="B2:H2"/>
    <mergeCell ref="J2:P2"/>
  </mergeCells>
  <phoneticPr fontId="3"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0"/>
  <sheetViews>
    <sheetView zoomScale="85" zoomScaleNormal="85" workbookViewId="0"/>
  </sheetViews>
  <sheetFormatPr defaultColWidth="9" defaultRowHeight="14.25"/>
  <cols>
    <col min="1" max="1" width="9" style="2"/>
    <col min="2" max="2" width="21.7109375" style="226" bestFit="1" customWidth="1"/>
    <col min="3" max="3" width="36.85546875" style="226" customWidth="1"/>
    <col min="4" max="4" width="28.28515625" style="226" customWidth="1"/>
    <col min="5" max="6" width="40.5703125" style="226" customWidth="1"/>
    <col min="7" max="7" width="39.7109375" style="226" customWidth="1"/>
    <col min="8" max="8" width="35" style="226" customWidth="1"/>
    <col min="9" max="16384" width="9" style="226"/>
  </cols>
  <sheetData>
    <row r="1" spans="2:8" ht="15" thickBot="1"/>
    <row r="2" spans="2:8" ht="16.5" thickBot="1">
      <c r="B2" s="227" t="s">
        <v>580</v>
      </c>
      <c r="C2" s="228" t="s">
        <v>581</v>
      </c>
      <c r="D2" s="228" t="s">
        <v>582</v>
      </c>
      <c r="E2" s="228" t="s">
        <v>583</v>
      </c>
      <c r="F2" s="228" t="s">
        <v>584</v>
      </c>
      <c r="G2" s="228" t="s">
        <v>585</v>
      </c>
      <c r="H2" s="228" t="s">
        <v>586</v>
      </c>
    </row>
    <row r="3" spans="2:8" ht="15.75" customHeight="1" thickBot="1">
      <c r="B3" s="229" t="s">
        <v>586</v>
      </c>
      <c r="C3" s="230" t="s">
        <v>587</v>
      </c>
      <c r="D3" s="508" t="s">
        <v>588</v>
      </c>
      <c r="E3" s="509"/>
      <c r="F3" s="509"/>
      <c r="G3" s="510"/>
      <c r="H3" s="230" t="s">
        <v>589</v>
      </c>
    </row>
    <row r="4" spans="2:8" ht="29.25">
      <c r="B4" s="462" t="s">
        <v>590</v>
      </c>
      <c r="C4" s="231" t="s">
        <v>591</v>
      </c>
      <c r="D4" s="491" t="s">
        <v>592</v>
      </c>
      <c r="E4" s="511" t="s">
        <v>593</v>
      </c>
      <c r="F4" s="512"/>
      <c r="G4" s="513"/>
      <c r="H4" s="478" t="s">
        <v>593</v>
      </c>
    </row>
    <row r="5" spans="2:8" ht="15.75" customHeight="1" thickBot="1">
      <c r="B5" s="463"/>
      <c r="C5" s="232" t="s">
        <v>594</v>
      </c>
      <c r="D5" s="479"/>
      <c r="E5" s="514"/>
      <c r="F5" s="500"/>
      <c r="G5" s="515"/>
      <c r="H5" s="480"/>
    </row>
    <row r="6" spans="2:8" ht="15" customHeight="1">
      <c r="B6" s="472" t="s">
        <v>595</v>
      </c>
      <c r="C6" s="478" t="s">
        <v>587</v>
      </c>
      <c r="D6" s="479"/>
      <c r="E6" s="481" t="s">
        <v>596</v>
      </c>
      <c r="F6" s="482"/>
      <c r="G6" s="483"/>
      <c r="H6" s="478" t="s">
        <v>597</v>
      </c>
    </row>
    <row r="7" spans="2:8">
      <c r="B7" s="473"/>
      <c r="C7" s="479"/>
      <c r="D7" s="479"/>
      <c r="E7" s="502" t="s">
        <v>598</v>
      </c>
      <c r="F7" s="503"/>
      <c r="G7" s="504"/>
      <c r="H7" s="479"/>
    </row>
    <row r="8" spans="2:8" ht="15" customHeight="1" thickBot="1">
      <c r="B8" s="474"/>
      <c r="C8" s="479"/>
      <c r="D8" s="479"/>
      <c r="E8" s="499" t="s">
        <v>599</v>
      </c>
      <c r="F8" s="500"/>
      <c r="G8" s="501"/>
      <c r="H8" s="480"/>
    </row>
    <row r="9" spans="2:8" ht="30" thickBot="1">
      <c r="B9" s="472" t="s">
        <v>600</v>
      </c>
      <c r="C9" s="479"/>
      <c r="D9" s="479"/>
      <c r="E9" s="481" t="s">
        <v>596</v>
      </c>
      <c r="F9" s="482"/>
      <c r="G9" s="483"/>
      <c r="H9" s="233" t="s">
        <v>601</v>
      </c>
    </row>
    <row r="10" spans="2:8" ht="45" customHeight="1">
      <c r="B10" s="473"/>
      <c r="C10" s="479"/>
      <c r="D10" s="479"/>
      <c r="E10" s="502" t="s">
        <v>601</v>
      </c>
      <c r="F10" s="503"/>
      <c r="G10" s="504"/>
      <c r="H10" s="478" t="s">
        <v>602</v>
      </c>
    </row>
    <row r="11" spans="2:8" ht="15" customHeight="1">
      <c r="B11" s="473"/>
      <c r="C11" s="479"/>
      <c r="D11" s="479"/>
      <c r="E11" s="502" t="s">
        <v>598</v>
      </c>
      <c r="F11" s="503"/>
      <c r="G11" s="504"/>
      <c r="H11" s="479"/>
    </row>
    <row r="12" spans="2:8" ht="15" customHeight="1" thickBot="1">
      <c r="B12" s="474"/>
      <c r="C12" s="479"/>
      <c r="D12" s="479"/>
      <c r="E12" s="505" t="s">
        <v>602</v>
      </c>
      <c r="F12" s="506"/>
      <c r="G12" s="507"/>
      <c r="H12" s="480"/>
    </row>
    <row r="13" spans="2:8" ht="30" customHeight="1">
      <c r="B13" s="472" t="s">
        <v>603</v>
      </c>
      <c r="C13" s="479"/>
      <c r="D13" s="479"/>
      <c r="E13" s="234" t="s">
        <v>604</v>
      </c>
      <c r="F13" s="487" t="s">
        <v>605</v>
      </c>
      <c r="G13" s="234" t="s">
        <v>604</v>
      </c>
      <c r="H13" s="478" t="s">
        <v>589</v>
      </c>
    </row>
    <row r="14" spans="2:8" ht="31.5" customHeight="1">
      <c r="B14" s="473"/>
      <c r="C14" s="479"/>
      <c r="D14" s="479"/>
      <c r="E14" s="235" t="s">
        <v>605</v>
      </c>
      <c r="F14" s="488"/>
      <c r="G14" s="490" t="s">
        <v>605</v>
      </c>
      <c r="H14" s="479"/>
    </row>
    <row r="15" spans="2:8" ht="15">
      <c r="B15" s="473"/>
      <c r="C15" s="479"/>
      <c r="D15" s="479"/>
      <c r="E15" s="235" t="s">
        <v>598</v>
      </c>
      <c r="F15" s="488"/>
      <c r="G15" s="491"/>
      <c r="H15" s="479"/>
    </row>
    <row r="16" spans="2:8" ht="30" customHeight="1">
      <c r="B16" s="473"/>
      <c r="C16" s="479"/>
      <c r="D16" s="479"/>
      <c r="E16" s="236" t="s">
        <v>606</v>
      </c>
      <c r="F16" s="488"/>
      <c r="G16" s="236" t="s">
        <v>607</v>
      </c>
      <c r="H16" s="479"/>
    </row>
    <row r="17" spans="2:8" ht="43.5">
      <c r="B17" s="473"/>
      <c r="C17" s="479"/>
      <c r="D17" s="479"/>
      <c r="E17" s="490" t="s">
        <v>608</v>
      </c>
      <c r="F17" s="488"/>
      <c r="G17" s="237" t="s">
        <v>609</v>
      </c>
      <c r="H17" s="479"/>
    </row>
    <row r="18" spans="2:8" ht="58.5" thickBot="1">
      <c r="B18" s="474"/>
      <c r="C18" s="479"/>
      <c r="D18" s="479"/>
      <c r="E18" s="492"/>
      <c r="F18" s="489"/>
      <c r="G18" s="232" t="s">
        <v>608</v>
      </c>
      <c r="H18" s="479"/>
    </row>
    <row r="19" spans="2:8">
      <c r="B19" s="472" t="s">
        <v>610</v>
      </c>
      <c r="C19" s="479"/>
      <c r="D19" s="479"/>
      <c r="E19" s="493" t="s">
        <v>596</v>
      </c>
      <c r="F19" s="494"/>
      <c r="G19" s="478" t="s">
        <v>611</v>
      </c>
      <c r="H19" s="479"/>
    </row>
    <row r="20" spans="2:8">
      <c r="B20" s="473"/>
      <c r="C20" s="479"/>
      <c r="D20" s="479"/>
      <c r="E20" s="495" t="s">
        <v>598</v>
      </c>
      <c r="F20" s="496"/>
      <c r="G20" s="479"/>
      <c r="H20" s="479"/>
    </row>
    <row r="21" spans="2:8">
      <c r="B21" s="473"/>
      <c r="C21" s="479"/>
      <c r="D21" s="479"/>
      <c r="E21" s="497" t="s">
        <v>612</v>
      </c>
      <c r="F21" s="498"/>
      <c r="G21" s="479"/>
      <c r="H21" s="479"/>
    </row>
    <row r="22" spans="2:8" ht="15" thickBot="1">
      <c r="B22" s="474"/>
      <c r="C22" s="479"/>
      <c r="D22" s="479"/>
      <c r="E22" s="470" t="s">
        <v>613</v>
      </c>
      <c r="F22" s="471"/>
      <c r="G22" s="480"/>
      <c r="H22" s="479"/>
    </row>
    <row r="23" spans="2:8" ht="29.25">
      <c r="B23" s="472" t="s">
        <v>614</v>
      </c>
      <c r="C23" s="479"/>
      <c r="D23" s="479"/>
      <c r="E23" s="475" t="s">
        <v>615</v>
      </c>
      <c r="F23" s="478" t="s">
        <v>616</v>
      </c>
      <c r="G23" s="238" t="s">
        <v>596</v>
      </c>
      <c r="H23" s="479"/>
    </row>
    <row r="24" spans="2:8" ht="15" customHeight="1">
      <c r="B24" s="473"/>
      <c r="C24" s="479"/>
      <c r="D24" s="479"/>
      <c r="E24" s="476"/>
      <c r="F24" s="479"/>
      <c r="G24" s="239" t="s">
        <v>598</v>
      </c>
      <c r="H24" s="479"/>
    </row>
    <row r="25" spans="2:8" ht="44.25" thickBot="1">
      <c r="B25" s="474"/>
      <c r="C25" s="479"/>
      <c r="D25" s="479"/>
      <c r="E25" s="477"/>
      <c r="F25" s="480"/>
      <c r="G25" s="240" t="s">
        <v>617</v>
      </c>
      <c r="H25" s="490"/>
    </row>
    <row r="26" spans="2:8">
      <c r="B26" s="462" t="s">
        <v>569</v>
      </c>
      <c r="C26" s="479"/>
      <c r="D26" s="479"/>
      <c r="E26" s="481" t="s">
        <v>618</v>
      </c>
      <c r="F26" s="482"/>
      <c r="G26" s="482"/>
      <c r="H26" s="483"/>
    </row>
    <row r="27" spans="2:8" ht="14.25" customHeight="1" thickBot="1">
      <c r="B27" s="463"/>
      <c r="C27" s="480"/>
      <c r="D27" s="479"/>
      <c r="E27" s="484" t="s">
        <v>619</v>
      </c>
      <c r="F27" s="485"/>
      <c r="G27" s="485"/>
      <c r="H27" s="486"/>
    </row>
    <row r="28" spans="2:8" ht="15">
      <c r="B28" s="462" t="s">
        <v>620</v>
      </c>
      <c r="C28" s="464" t="s">
        <v>621</v>
      </c>
      <c r="D28" s="479"/>
      <c r="E28" s="466" t="s">
        <v>622</v>
      </c>
      <c r="F28" s="466"/>
      <c r="G28" s="467"/>
      <c r="H28" s="467" t="s">
        <v>621</v>
      </c>
    </row>
    <row r="29" spans="2:8" ht="17.25" thickBot="1">
      <c r="B29" s="463"/>
      <c r="C29" s="465"/>
      <c r="D29" s="480"/>
      <c r="E29" s="469" t="s">
        <v>623</v>
      </c>
      <c r="F29" s="469"/>
      <c r="G29" s="468"/>
      <c r="H29" s="468"/>
    </row>
    <row r="30" spans="2:8" ht="15">
      <c r="C30" s="241"/>
    </row>
  </sheetData>
  <mergeCells count="39">
    <mergeCell ref="D3:G3"/>
    <mergeCell ref="B4:B5"/>
    <mergeCell ref="D4:D29"/>
    <mergeCell ref="E4:G5"/>
    <mergeCell ref="H4:H5"/>
    <mergeCell ref="B6:B8"/>
    <mergeCell ref="C6:C27"/>
    <mergeCell ref="E6:G6"/>
    <mergeCell ref="H6:H8"/>
    <mergeCell ref="E7:G7"/>
    <mergeCell ref="E8:G8"/>
    <mergeCell ref="B9:B12"/>
    <mergeCell ref="E9:G9"/>
    <mergeCell ref="E10:G10"/>
    <mergeCell ref="H10:H12"/>
    <mergeCell ref="E11:G11"/>
    <mergeCell ref="E12:G12"/>
    <mergeCell ref="B13:B18"/>
    <mergeCell ref="F13:F18"/>
    <mergeCell ref="H13:H25"/>
    <mergeCell ref="G14:G15"/>
    <mergeCell ref="E17:E18"/>
    <mergeCell ref="B19:B22"/>
    <mergeCell ref="E19:F19"/>
    <mergeCell ref="G19:G22"/>
    <mergeCell ref="E20:F20"/>
    <mergeCell ref="E21:F21"/>
    <mergeCell ref="E22:F22"/>
    <mergeCell ref="B23:B25"/>
    <mergeCell ref="E23:E25"/>
    <mergeCell ref="F23:F25"/>
    <mergeCell ref="B26:B27"/>
    <mergeCell ref="E26:H26"/>
    <mergeCell ref="E27:H27"/>
    <mergeCell ref="B28:B29"/>
    <mergeCell ref="C28:C29"/>
    <mergeCell ref="E28:G28"/>
    <mergeCell ref="H28:H29"/>
    <mergeCell ref="E29:G29"/>
  </mergeCells>
  <phoneticPr fontId="3"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J413"/>
  <sheetViews>
    <sheetView tabSelected="1" zoomScale="85" zoomScaleNormal="85" workbookViewId="0"/>
  </sheetViews>
  <sheetFormatPr defaultColWidth="9" defaultRowHeight="13.5"/>
  <cols>
    <col min="1" max="1" width="3.140625" style="242" customWidth="1"/>
    <col min="2" max="2" width="22.7109375" style="242" customWidth="1"/>
    <col min="3" max="3" width="8.5703125" style="242" bestFit="1" customWidth="1"/>
    <col min="4" max="4" width="8.5703125" style="242" customWidth="1"/>
    <col min="5" max="5" width="6" style="242" bestFit="1" customWidth="1"/>
    <col min="6" max="6" width="47.28515625" style="242" bestFit="1" customWidth="1"/>
    <col min="7" max="7" width="70.42578125" style="242" bestFit="1" customWidth="1"/>
    <col min="8" max="8" width="8" style="242" bestFit="1" customWidth="1"/>
    <col min="9" max="9" width="6.7109375" style="242" bestFit="1" customWidth="1"/>
    <col min="10" max="10" width="80.85546875" style="242" bestFit="1" customWidth="1"/>
    <col min="11" max="16384" width="9" style="242"/>
  </cols>
  <sheetData>
    <row r="3" spans="1:10" ht="30">
      <c r="B3" s="562" t="s">
        <v>117</v>
      </c>
      <c r="C3" s="562"/>
      <c r="D3" s="562"/>
      <c r="E3" s="562"/>
      <c r="F3" s="562"/>
      <c r="G3" s="562"/>
      <c r="H3" s="562"/>
      <c r="I3" s="562"/>
      <c r="J3" s="562"/>
    </row>
    <row r="4" spans="1:10" ht="18">
      <c r="A4" s="243"/>
      <c r="B4" s="243" t="s">
        <v>118</v>
      </c>
      <c r="C4" s="244"/>
      <c r="D4" s="244"/>
      <c r="E4" s="244"/>
      <c r="F4" s="245"/>
      <c r="G4" s="245"/>
      <c r="H4" s="244"/>
      <c r="I4" s="244"/>
      <c r="J4" s="245"/>
    </row>
    <row r="5" spans="1:10" ht="18">
      <c r="A5" s="243"/>
    </row>
    <row r="6" spans="1:10" ht="18.75" thickBot="1">
      <c r="A6" s="243"/>
      <c r="B6" s="246" t="s">
        <v>624</v>
      </c>
      <c r="C6" s="244"/>
      <c r="D6" s="244"/>
      <c r="E6" s="244"/>
      <c r="F6" s="245"/>
      <c r="G6" s="245"/>
      <c r="H6" s="244"/>
      <c r="I6" s="244"/>
      <c r="J6" s="245"/>
    </row>
    <row r="7" spans="1:10" ht="18">
      <c r="A7" s="243"/>
      <c r="B7" s="247" t="s">
        <v>415</v>
      </c>
      <c r="C7" s="248"/>
      <c r="D7" s="248"/>
      <c r="E7" s="248"/>
      <c r="F7" s="249"/>
      <c r="G7" s="249"/>
      <c r="H7" s="248"/>
      <c r="I7" s="248"/>
      <c r="J7" s="250"/>
    </row>
    <row r="8" spans="1:10" ht="18">
      <c r="A8" s="243"/>
      <c r="B8" s="251"/>
      <c r="C8" s="244"/>
      <c r="D8" s="244"/>
      <c r="E8" s="244"/>
      <c r="F8" s="245"/>
      <c r="G8" s="245"/>
      <c r="H8" s="244"/>
      <c r="I8" s="244"/>
      <c r="J8" s="252"/>
    </row>
    <row r="9" spans="1:10" ht="19.5" thickBot="1">
      <c r="A9" s="243"/>
      <c r="B9" s="253" t="s">
        <v>625</v>
      </c>
      <c r="C9" s="254">
        <v>1</v>
      </c>
      <c r="D9" s="255" t="s">
        <v>626</v>
      </c>
      <c r="E9" s="244"/>
      <c r="F9" s="245"/>
      <c r="G9" s="245"/>
      <c r="H9" s="244"/>
      <c r="I9" s="244"/>
      <c r="J9" s="252"/>
    </row>
    <row r="10" spans="1:10" ht="38.25">
      <c r="A10" s="243"/>
      <c r="B10" s="256" t="s">
        <v>79</v>
      </c>
      <c r="C10" s="257" t="s">
        <v>121</v>
      </c>
      <c r="D10" s="257" t="s">
        <v>122</v>
      </c>
      <c r="E10" s="258" t="s">
        <v>123</v>
      </c>
      <c r="F10" s="258" t="s">
        <v>124</v>
      </c>
      <c r="G10" s="258" t="s">
        <v>50</v>
      </c>
      <c r="H10" s="259" t="s">
        <v>125</v>
      </c>
      <c r="I10" s="257" t="s">
        <v>126</v>
      </c>
      <c r="J10" s="260" t="s">
        <v>127</v>
      </c>
    </row>
    <row r="11" spans="1:10" ht="18">
      <c r="A11" s="243"/>
      <c r="B11" s="563" t="s">
        <v>83</v>
      </c>
      <c r="C11" s="113">
        <f>30170 + (C9-1) * 150</f>
        <v>30170</v>
      </c>
      <c r="D11" s="261" t="str">
        <f t="shared" ref="D11:D49" si="0">DEC2HEX(C11)</f>
        <v>75DA</v>
      </c>
      <c r="E11" s="520" t="s">
        <v>129</v>
      </c>
      <c r="F11" s="429" t="s">
        <v>627</v>
      </c>
      <c r="G11" s="552" t="s">
        <v>628</v>
      </c>
      <c r="H11" s="551" t="s">
        <v>132</v>
      </c>
      <c r="I11" s="529" t="s">
        <v>132</v>
      </c>
      <c r="J11" s="561" t="s">
        <v>629</v>
      </c>
    </row>
    <row r="12" spans="1:10">
      <c r="B12" s="563"/>
      <c r="C12" s="113">
        <f t="shared" ref="C12:C59" si="1">C11+1</f>
        <v>30171</v>
      </c>
      <c r="D12" s="261" t="str">
        <f t="shared" si="0"/>
        <v>75DB</v>
      </c>
      <c r="E12" s="520"/>
      <c r="F12" s="429"/>
      <c r="G12" s="553"/>
      <c r="H12" s="551"/>
      <c r="I12" s="529"/>
      <c r="J12" s="561"/>
    </row>
    <row r="13" spans="1:10">
      <c r="B13" s="563"/>
      <c r="C13" s="113">
        <f t="shared" si="1"/>
        <v>30172</v>
      </c>
      <c r="D13" s="261" t="str">
        <f t="shared" si="0"/>
        <v>75DC</v>
      </c>
      <c r="E13" s="520" t="s">
        <v>129</v>
      </c>
      <c r="F13" s="429" t="s">
        <v>630</v>
      </c>
      <c r="G13" s="552" t="s">
        <v>628</v>
      </c>
      <c r="H13" s="551" t="s">
        <v>132</v>
      </c>
      <c r="I13" s="529" t="s">
        <v>132</v>
      </c>
      <c r="J13" s="561" t="s">
        <v>631</v>
      </c>
    </row>
    <row r="14" spans="1:10">
      <c r="B14" s="563"/>
      <c r="C14" s="113">
        <f t="shared" si="1"/>
        <v>30173</v>
      </c>
      <c r="D14" s="261" t="str">
        <f t="shared" si="0"/>
        <v>75DD</v>
      </c>
      <c r="E14" s="520"/>
      <c r="F14" s="429"/>
      <c r="G14" s="553"/>
      <c r="H14" s="551"/>
      <c r="I14" s="529"/>
      <c r="J14" s="561"/>
    </row>
    <row r="15" spans="1:10">
      <c r="B15" s="563"/>
      <c r="C15" s="113">
        <f t="shared" si="1"/>
        <v>30174</v>
      </c>
      <c r="D15" s="261" t="str">
        <f t="shared" si="0"/>
        <v>75DE</v>
      </c>
      <c r="E15" s="520" t="s">
        <v>129</v>
      </c>
      <c r="F15" s="429" t="s">
        <v>632</v>
      </c>
      <c r="G15" s="552" t="s">
        <v>628</v>
      </c>
      <c r="H15" s="551" t="s">
        <v>132</v>
      </c>
      <c r="I15" s="529" t="s">
        <v>132</v>
      </c>
      <c r="J15" s="561" t="s">
        <v>629</v>
      </c>
    </row>
    <row r="16" spans="1:10">
      <c r="B16" s="563"/>
      <c r="C16" s="113">
        <f t="shared" si="1"/>
        <v>30175</v>
      </c>
      <c r="D16" s="261" t="str">
        <f t="shared" si="0"/>
        <v>75DF</v>
      </c>
      <c r="E16" s="520"/>
      <c r="F16" s="429"/>
      <c r="G16" s="553"/>
      <c r="H16" s="551"/>
      <c r="I16" s="529"/>
      <c r="J16" s="561"/>
    </row>
    <row r="17" spans="2:10">
      <c r="B17" s="563"/>
      <c r="C17" s="113">
        <f t="shared" si="1"/>
        <v>30176</v>
      </c>
      <c r="D17" s="261" t="str">
        <f t="shared" si="0"/>
        <v>75E0</v>
      </c>
      <c r="E17" s="520" t="s">
        <v>129</v>
      </c>
      <c r="F17" s="399" t="s">
        <v>633</v>
      </c>
      <c r="G17" s="556" t="s">
        <v>634</v>
      </c>
      <c r="H17" s="403" t="s">
        <v>132</v>
      </c>
      <c r="I17" s="558" t="s">
        <v>132</v>
      </c>
      <c r="J17" s="559" t="s">
        <v>635</v>
      </c>
    </row>
    <row r="18" spans="2:10">
      <c r="B18" s="563"/>
      <c r="C18" s="113">
        <f t="shared" si="1"/>
        <v>30177</v>
      </c>
      <c r="D18" s="261" t="str">
        <f t="shared" si="0"/>
        <v>75E1</v>
      </c>
      <c r="E18" s="520"/>
      <c r="F18" s="400"/>
      <c r="G18" s="557"/>
      <c r="H18" s="404"/>
      <c r="I18" s="544"/>
      <c r="J18" s="560"/>
    </row>
    <row r="19" spans="2:10">
      <c r="B19" s="563"/>
      <c r="C19" s="113">
        <f t="shared" si="1"/>
        <v>30178</v>
      </c>
      <c r="D19" s="261" t="str">
        <f t="shared" si="0"/>
        <v>75E2</v>
      </c>
      <c r="E19" s="520" t="s">
        <v>636</v>
      </c>
      <c r="F19" s="429" t="s">
        <v>637</v>
      </c>
      <c r="G19" s="553" t="s">
        <v>638</v>
      </c>
      <c r="H19" s="551" t="s">
        <v>132</v>
      </c>
      <c r="I19" s="520" t="s">
        <v>132</v>
      </c>
      <c r="J19" s="555" t="s">
        <v>639</v>
      </c>
    </row>
    <row r="20" spans="2:10">
      <c r="B20" s="563"/>
      <c r="C20" s="113">
        <f t="shared" si="1"/>
        <v>30179</v>
      </c>
      <c r="D20" s="261" t="str">
        <f t="shared" si="0"/>
        <v>75E3</v>
      </c>
      <c r="E20" s="520"/>
      <c r="F20" s="429"/>
      <c r="G20" s="553"/>
      <c r="H20" s="551"/>
      <c r="I20" s="520"/>
      <c r="J20" s="555"/>
    </row>
    <row r="21" spans="2:10">
      <c r="B21" s="563"/>
      <c r="C21" s="113">
        <f t="shared" si="1"/>
        <v>30180</v>
      </c>
      <c r="D21" s="261" t="str">
        <f t="shared" si="0"/>
        <v>75E4</v>
      </c>
      <c r="E21" s="520"/>
      <c r="F21" s="429"/>
      <c r="G21" s="553"/>
      <c r="H21" s="551"/>
      <c r="I21" s="520"/>
      <c r="J21" s="555"/>
    </row>
    <row r="22" spans="2:10">
      <c r="B22" s="563"/>
      <c r="C22" s="113">
        <f t="shared" si="1"/>
        <v>30181</v>
      </c>
      <c r="D22" s="261" t="str">
        <f t="shared" si="0"/>
        <v>75E5</v>
      </c>
      <c r="E22" s="520"/>
      <c r="F22" s="429"/>
      <c r="G22" s="553"/>
      <c r="H22" s="551"/>
      <c r="I22" s="520"/>
      <c r="J22" s="555"/>
    </row>
    <row r="23" spans="2:10">
      <c r="B23" s="563"/>
      <c r="C23" s="113">
        <f t="shared" si="1"/>
        <v>30182</v>
      </c>
      <c r="D23" s="261" t="str">
        <f t="shared" si="0"/>
        <v>75E6</v>
      </c>
      <c r="E23" s="520"/>
      <c r="F23" s="429"/>
      <c r="G23" s="553"/>
      <c r="H23" s="551"/>
      <c r="I23" s="520"/>
      <c r="J23" s="555"/>
    </row>
    <row r="24" spans="2:10">
      <c r="B24" s="563"/>
      <c r="C24" s="113">
        <f t="shared" si="1"/>
        <v>30183</v>
      </c>
      <c r="D24" s="261" t="str">
        <f t="shared" si="0"/>
        <v>75E7</v>
      </c>
      <c r="E24" s="520"/>
      <c r="F24" s="429"/>
      <c r="G24" s="553"/>
      <c r="H24" s="551"/>
      <c r="I24" s="520"/>
      <c r="J24" s="555"/>
    </row>
    <row r="25" spans="2:10">
      <c r="B25" s="563"/>
      <c r="C25" s="113">
        <f t="shared" si="1"/>
        <v>30184</v>
      </c>
      <c r="D25" s="261" t="str">
        <f t="shared" si="0"/>
        <v>75E8</v>
      </c>
      <c r="E25" s="520"/>
      <c r="F25" s="429"/>
      <c r="G25" s="553"/>
      <c r="H25" s="551"/>
      <c r="I25" s="520"/>
      <c r="J25" s="555"/>
    </row>
    <row r="26" spans="2:10">
      <c r="B26" s="563"/>
      <c r="C26" s="113">
        <f t="shared" si="1"/>
        <v>30185</v>
      </c>
      <c r="D26" s="261" t="str">
        <f t="shared" si="0"/>
        <v>75E9</v>
      </c>
      <c r="E26" s="520"/>
      <c r="F26" s="429"/>
      <c r="G26" s="553"/>
      <c r="H26" s="551"/>
      <c r="I26" s="520"/>
      <c r="J26" s="555"/>
    </row>
    <row r="27" spans="2:10">
      <c r="B27" s="563"/>
      <c r="C27" s="113">
        <f t="shared" si="1"/>
        <v>30186</v>
      </c>
      <c r="D27" s="261" t="str">
        <f t="shared" si="0"/>
        <v>75EA</v>
      </c>
      <c r="E27" s="520" t="s">
        <v>129</v>
      </c>
      <c r="F27" s="429" t="s">
        <v>640</v>
      </c>
      <c r="G27" s="552" t="s">
        <v>641</v>
      </c>
      <c r="H27" s="551" t="s">
        <v>132</v>
      </c>
      <c r="I27" s="520" t="s">
        <v>132</v>
      </c>
      <c r="J27" s="554" t="s">
        <v>642</v>
      </c>
    </row>
    <row r="28" spans="2:10">
      <c r="B28" s="563"/>
      <c r="C28" s="113">
        <f t="shared" si="1"/>
        <v>30187</v>
      </c>
      <c r="D28" s="261" t="str">
        <f t="shared" si="0"/>
        <v>75EB</v>
      </c>
      <c r="E28" s="520"/>
      <c r="F28" s="429"/>
      <c r="G28" s="553"/>
      <c r="H28" s="551"/>
      <c r="I28" s="520"/>
      <c r="J28" s="554"/>
    </row>
    <row r="29" spans="2:10">
      <c r="B29" s="563"/>
      <c r="C29" s="113">
        <f t="shared" si="1"/>
        <v>30188</v>
      </c>
      <c r="D29" s="261" t="str">
        <f t="shared" si="0"/>
        <v>75EC</v>
      </c>
      <c r="E29" s="520" t="s">
        <v>129</v>
      </c>
      <c r="F29" s="429" t="s">
        <v>643</v>
      </c>
      <c r="G29" s="552" t="s">
        <v>644</v>
      </c>
      <c r="H29" s="551" t="s">
        <v>132</v>
      </c>
      <c r="I29" s="520" t="s">
        <v>132</v>
      </c>
      <c r="J29" s="554" t="s">
        <v>645</v>
      </c>
    </row>
    <row r="30" spans="2:10">
      <c r="B30" s="563"/>
      <c r="C30" s="113">
        <f t="shared" si="1"/>
        <v>30189</v>
      </c>
      <c r="D30" s="261" t="str">
        <f t="shared" si="0"/>
        <v>75ED</v>
      </c>
      <c r="E30" s="520"/>
      <c r="F30" s="429"/>
      <c r="G30" s="553"/>
      <c r="H30" s="551"/>
      <c r="I30" s="520"/>
      <c r="J30" s="554"/>
    </row>
    <row r="31" spans="2:10">
      <c r="B31" s="563"/>
      <c r="C31" s="80">
        <f>C30+1</f>
        <v>30190</v>
      </c>
      <c r="D31" s="262" t="str">
        <f t="shared" si="0"/>
        <v>75EE</v>
      </c>
      <c r="E31" s="262" t="s">
        <v>134</v>
      </c>
      <c r="F31" s="80" t="s">
        <v>646</v>
      </c>
      <c r="G31" s="263" t="s">
        <v>647</v>
      </c>
      <c r="H31" s="124" t="s">
        <v>132</v>
      </c>
      <c r="I31" s="262" t="s">
        <v>132</v>
      </c>
      <c r="J31" s="264" t="s">
        <v>648</v>
      </c>
    </row>
    <row r="32" spans="2:10">
      <c r="B32" s="563"/>
      <c r="C32" s="113">
        <f>C30+2</f>
        <v>30191</v>
      </c>
      <c r="D32" s="261" t="str">
        <f t="shared" si="0"/>
        <v>75EF</v>
      </c>
      <c r="E32" s="261"/>
      <c r="F32" s="113" t="s">
        <v>62</v>
      </c>
      <c r="G32" s="265"/>
      <c r="H32" s="124"/>
      <c r="I32" s="261"/>
      <c r="J32" s="116"/>
    </row>
    <row r="33" spans="1:10" ht="25.5">
      <c r="B33" s="563"/>
      <c r="C33" s="113">
        <f>C30+3</f>
        <v>30192</v>
      </c>
      <c r="D33" s="261" t="str">
        <f t="shared" si="0"/>
        <v>75F0</v>
      </c>
      <c r="E33" s="261" t="s">
        <v>134</v>
      </c>
      <c r="F33" s="113" t="s">
        <v>649</v>
      </c>
      <c r="G33" s="265" t="s">
        <v>650</v>
      </c>
      <c r="H33" s="124" t="s">
        <v>294</v>
      </c>
      <c r="I33" s="261">
        <v>1</v>
      </c>
      <c r="J33" s="116" t="s">
        <v>651</v>
      </c>
    </row>
    <row r="34" spans="1:10" ht="25.5">
      <c r="B34" s="563"/>
      <c r="C34" s="80">
        <f t="shared" si="1"/>
        <v>30193</v>
      </c>
      <c r="D34" s="262" t="str">
        <f t="shared" si="0"/>
        <v>75F1</v>
      </c>
      <c r="E34" s="262" t="s">
        <v>134</v>
      </c>
      <c r="F34" s="80" t="s">
        <v>652</v>
      </c>
      <c r="G34" s="263" t="s">
        <v>653</v>
      </c>
      <c r="H34" s="81" t="s">
        <v>137</v>
      </c>
      <c r="I34" s="262">
        <v>1</v>
      </c>
      <c r="J34" s="264" t="s">
        <v>654</v>
      </c>
    </row>
    <row r="35" spans="1:10" ht="25.5" customHeight="1">
      <c r="A35" s="245"/>
      <c r="B35" s="563"/>
      <c r="C35" s="80">
        <f>C34+1</f>
        <v>30194</v>
      </c>
      <c r="D35" s="266" t="str">
        <f t="shared" si="0"/>
        <v>75F2</v>
      </c>
      <c r="E35" s="262" t="s">
        <v>139</v>
      </c>
      <c r="F35" s="80" t="s">
        <v>655</v>
      </c>
      <c r="G35" s="263" t="s">
        <v>656</v>
      </c>
      <c r="H35" s="81" t="s">
        <v>657</v>
      </c>
      <c r="I35" s="262">
        <v>1</v>
      </c>
      <c r="J35" s="264" t="s">
        <v>658</v>
      </c>
    </row>
    <row r="36" spans="1:10" ht="25.5">
      <c r="B36" s="563"/>
      <c r="C36" s="113">
        <f>C35+1</f>
        <v>30195</v>
      </c>
      <c r="D36" s="261" t="str">
        <f t="shared" si="0"/>
        <v>75F3</v>
      </c>
      <c r="E36" s="261" t="s">
        <v>134</v>
      </c>
      <c r="F36" s="113" t="s">
        <v>659</v>
      </c>
      <c r="G36" s="265" t="s">
        <v>660</v>
      </c>
      <c r="H36" s="124" t="s">
        <v>137</v>
      </c>
      <c r="I36" s="261">
        <v>1</v>
      </c>
      <c r="J36" s="116" t="s">
        <v>661</v>
      </c>
    </row>
    <row r="37" spans="1:10">
      <c r="B37" s="563"/>
      <c r="C37" s="113">
        <f>C36+1</f>
        <v>30196</v>
      </c>
      <c r="D37" s="261" t="str">
        <f t="shared" si="0"/>
        <v>75F4</v>
      </c>
      <c r="E37" s="261"/>
      <c r="F37" s="113" t="s">
        <v>62</v>
      </c>
      <c r="G37" s="265"/>
      <c r="H37" s="124"/>
      <c r="I37" s="261"/>
      <c r="J37" s="116"/>
    </row>
    <row r="38" spans="1:10" ht="25.5">
      <c r="B38" s="563"/>
      <c r="C38" s="113">
        <f>C36+2</f>
        <v>30197</v>
      </c>
      <c r="D38" s="261" t="str">
        <f t="shared" si="0"/>
        <v>75F5</v>
      </c>
      <c r="E38" s="261" t="s">
        <v>134</v>
      </c>
      <c r="F38" s="113" t="s">
        <v>662</v>
      </c>
      <c r="G38" s="265" t="s">
        <v>663</v>
      </c>
      <c r="H38" s="124" t="s">
        <v>137</v>
      </c>
      <c r="I38" s="261">
        <v>1</v>
      </c>
      <c r="J38" s="116" t="s">
        <v>664</v>
      </c>
    </row>
    <row r="39" spans="1:10" ht="25.5">
      <c r="B39" s="563"/>
      <c r="C39" s="113">
        <f t="shared" si="1"/>
        <v>30198</v>
      </c>
      <c r="D39" s="261" t="str">
        <f t="shared" si="0"/>
        <v>75F6</v>
      </c>
      <c r="E39" s="261" t="s">
        <v>134</v>
      </c>
      <c r="F39" s="113" t="s">
        <v>665</v>
      </c>
      <c r="G39" s="265" t="s">
        <v>666</v>
      </c>
      <c r="H39" s="124" t="s">
        <v>137</v>
      </c>
      <c r="I39" s="261">
        <v>1</v>
      </c>
      <c r="J39" s="116" t="s">
        <v>664</v>
      </c>
    </row>
    <row r="40" spans="1:10" ht="25.5">
      <c r="B40" s="563"/>
      <c r="C40" s="113">
        <f t="shared" si="1"/>
        <v>30199</v>
      </c>
      <c r="D40" s="261" t="str">
        <f t="shared" si="0"/>
        <v>75F7</v>
      </c>
      <c r="E40" s="261" t="s">
        <v>134</v>
      </c>
      <c r="F40" s="113" t="s">
        <v>667</v>
      </c>
      <c r="G40" s="265" t="s">
        <v>668</v>
      </c>
      <c r="H40" s="124" t="s">
        <v>137</v>
      </c>
      <c r="I40" s="261">
        <v>1</v>
      </c>
      <c r="J40" s="116" t="s">
        <v>669</v>
      </c>
    </row>
    <row r="41" spans="1:10" ht="13.5" customHeight="1">
      <c r="B41" s="563"/>
      <c r="C41" s="113">
        <f>C40+1</f>
        <v>30200</v>
      </c>
      <c r="D41" s="261" t="str">
        <f t="shared" si="0"/>
        <v>75F8</v>
      </c>
      <c r="E41" s="262"/>
      <c r="F41" s="113" t="s">
        <v>62</v>
      </c>
      <c r="G41" s="267"/>
      <c r="H41" s="101"/>
      <c r="I41" s="268"/>
      <c r="J41" s="269"/>
    </row>
    <row r="42" spans="1:10" ht="13.5" customHeight="1">
      <c r="B42" s="563"/>
      <c r="C42" s="113">
        <f t="shared" si="1"/>
        <v>30201</v>
      </c>
      <c r="D42" s="261" t="str">
        <f t="shared" si="0"/>
        <v>75F9</v>
      </c>
      <c r="E42" s="262"/>
      <c r="F42" s="113" t="s">
        <v>62</v>
      </c>
      <c r="G42" s="267"/>
      <c r="H42" s="101"/>
      <c r="I42" s="268"/>
      <c r="J42" s="269"/>
    </row>
    <row r="43" spans="1:10">
      <c r="B43" s="563"/>
      <c r="C43" s="113">
        <f>C40+3</f>
        <v>30202</v>
      </c>
      <c r="D43" s="261" t="str">
        <f t="shared" si="0"/>
        <v>75FA</v>
      </c>
      <c r="E43" s="261" t="s">
        <v>134</v>
      </c>
      <c r="F43" s="113" t="s">
        <v>670</v>
      </c>
      <c r="G43" s="270" t="s">
        <v>671</v>
      </c>
      <c r="H43" s="124" t="s">
        <v>132</v>
      </c>
      <c r="I43" s="261" t="s">
        <v>132</v>
      </c>
      <c r="J43" s="271" t="s">
        <v>672</v>
      </c>
    </row>
    <row r="44" spans="1:10">
      <c r="B44" s="563"/>
      <c r="C44" s="113">
        <f t="shared" si="1"/>
        <v>30203</v>
      </c>
      <c r="D44" s="261" t="str">
        <f t="shared" si="0"/>
        <v>75FB</v>
      </c>
      <c r="E44" s="261" t="s">
        <v>134</v>
      </c>
      <c r="F44" s="117" t="s">
        <v>55</v>
      </c>
      <c r="G44" s="270"/>
      <c r="H44" s="124"/>
      <c r="I44" s="261"/>
      <c r="J44" s="271"/>
    </row>
    <row r="45" spans="1:10">
      <c r="B45" s="563"/>
      <c r="C45" s="113">
        <f t="shared" si="1"/>
        <v>30204</v>
      </c>
      <c r="D45" s="261" t="str">
        <f t="shared" si="0"/>
        <v>75FC</v>
      </c>
      <c r="E45" s="261" t="s">
        <v>134</v>
      </c>
      <c r="F45" s="117" t="s">
        <v>55</v>
      </c>
      <c r="G45" s="270"/>
      <c r="H45" s="124"/>
      <c r="I45" s="261"/>
      <c r="J45" s="271"/>
    </row>
    <row r="46" spans="1:10">
      <c r="B46" s="563"/>
      <c r="C46" s="113">
        <f t="shared" si="1"/>
        <v>30205</v>
      </c>
      <c r="D46" s="261" t="str">
        <f t="shared" si="0"/>
        <v>75FD</v>
      </c>
      <c r="E46" s="261" t="s">
        <v>134</v>
      </c>
      <c r="F46" s="117" t="s">
        <v>55</v>
      </c>
      <c r="G46" s="270"/>
      <c r="H46" s="124"/>
      <c r="I46" s="261"/>
      <c r="J46" s="271"/>
    </row>
    <row r="47" spans="1:10">
      <c r="B47" s="563"/>
      <c r="C47" s="113">
        <f t="shared" si="1"/>
        <v>30206</v>
      </c>
      <c r="D47" s="261" t="str">
        <f t="shared" si="0"/>
        <v>75FE</v>
      </c>
      <c r="E47" s="261" t="s">
        <v>134</v>
      </c>
      <c r="F47" s="117" t="s">
        <v>55</v>
      </c>
      <c r="G47" s="270"/>
      <c r="H47" s="124"/>
      <c r="I47" s="261"/>
      <c r="J47" s="271"/>
    </row>
    <row r="48" spans="1:10">
      <c r="B48" s="563"/>
      <c r="C48" s="113">
        <f t="shared" si="1"/>
        <v>30207</v>
      </c>
      <c r="D48" s="261" t="str">
        <f t="shared" si="0"/>
        <v>75FF</v>
      </c>
      <c r="E48" s="261" t="s">
        <v>134</v>
      </c>
      <c r="F48" s="117" t="s">
        <v>55</v>
      </c>
      <c r="G48" s="270"/>
      <c r="H48" s="124"/>
      <c r="I48" s="261"/>
      <c r="J48" s="271"/>
    </row>
    <row r="49" spans="2:10">
      <c r="B49" s="563"/>
      <c r="C49" s="113">
        <f t="shared" si="1"/>
        <v>30208</v>
      </c>
      <c r="D49" s="261" t="str">
        <f t="shared" si="0"/>
        <v>7600</v>
      </c>
      <c r="E49" s="261" t="s">
        <v>134</v>
      </c>
      <c r="F49" s="117" t="s">
        <v>55</v>
      </c>
      <c r="G49" s="270"/>
      <c r="H49" s="124"/>
      <c r="I49" s="261"/>
      <c r="J49" s="271"/>
    </row>
    <row r="50" spans="2:10">
      <c r="B50" s="563"/>
      <c r="C50" s="113">
        <f t="shared" si="1"/>
        <v>30209</v>
      </c>
      <c r="D50" s="261" t="str">
        <f>DEC2HEX(C50)</f>
        <v>7601</v>
      </c>
      <c r="E50" s="261" t="s">
        <v>134</v>
      </c>
      <c r="F50" s="117" t="s">
        <v>55</v>
      </c>
      <c r="G50" s="270"/>
      <c r="H50" s="124"/>
      <c r="I50" s="261"/>
      <c r="J50" s="116"/>
    </row>
    <row r="51" spans="2:10">
      <c r="B51" s="563"/>
      <c r="C51" s="113">
        <f t="shared" si="1"/>
        <v>30210</v>
      </c>
      <c r="D51" s="261" t="str">
        <f t="shared" ref="D51:D59" si="2">DEC2HEX(C51)</f>
        <v>7602</v>
      </c>
      <c r="E51" s="261" t="s">
        <v>134</v>
      </c>
      <c r="F51" s="117" t="s">
        <v>55</v>
      </c>
      <c r="G51" s="270"/>
      <c r="H51" s="124"/>
      <c r="I51" s="261"/>
      <c r="J51" s="116"/>
    </row>
    <row r="52" spans="2:10">
      <c r="B52" s="563"/>
      <c r="C52" s="113">
        <f t="shared" si="1"/>
        <v>30211</v>
      </c>
      <c r="D52" s="261" t="str">
        <f t="shared" si="2"/>
        <v>7603</v>
      </c>
      <c r="E52" s="261" t="s">
        <v>134</v>
      </c>
      <c r="F52" s="117" t="s">
        <v>55</v>
      </c>
      <c r="G52" s="270"/>
      <c r="H52" s="124"/>
      <c r="I52" s="261"/>
      <c r="J52" s="116"/>
    </row>
    <row r="53" spans="2:10">
      <c r="B53" s="563"/>
      <c r="C53" s="113">
        <f t="shared" si="1"/>
        <v>30212</v>
      </c>
      <c r="D53" s="261" t="str">
        <f t="shared" si="2"/>
        <v>7604</v>
      </c>
      <c r="E53" s="261" t="s">
        <v>134</v>
      </c>
      <c r="F53" s="117" t="s">
        <v>55</v>
      </c>
      <c r="G53" s="270"/>
      <c r="H53" s="124"/>
      <c r="I53" s="261"/>
      <c r="J53" s="116"/>
    </row>
    <row r="54" spans="2:10">
      <c r="B54" s="563"/>
      <c r="C54" s="113">
        <f t="shared" si="1"/>
        <v>30213</v>
      </c>
      <c r="D54" s="261" t="str">
        <f t="shared" si="2"/>
        <v>7605</v>
      </c>
      <c r="E54" s="261" t="s">
        <v>134</v>
      </c>
      <c r="F54" s="117" t="s">
        <v>55</v>
      </c>
      <c r="G54" s="270"/>
      <c r="H54" s="124"/>
      <c r="I54" s="261"/>
      <c r="J54" s="116"/>
    </row>
    <row r="55" spans="2:10">
      <c r="B55" s="563"/>
      <c r="C55" s="113">
        <f t="shared" si="1"/>
        <v>30214</v>
      </c>
      <c r="D55" s="261" t="str">
        <f t="shared" si="2"/>
        <v>7606</v>
      </c>
      <c r="E55" s="261" t="s">
        <v>134</v>
      </c>
      <c r="F55" s="117" t="s">
        <v>55</v>
      </c>
      <c r="G55" s="270"/>
      <c r="H55" s="124"/>
      <c r="I55" s="261"/>
      <c r="J55" s="116"/>
    </row>
    <row r="56" spans="2:10">
      <c r="B56" s="563"/>
      <c r="C56" s="113">
        <f t="shared" si="1"/>
        <v>30215</v>
      </c>
      <c r="D56" s="261" t="str">
        <f t="shared" si="2"/>
        <v>7607</v>
      </c>
      <c r="E56" s="261" t="s">
        <v>134</v>
      </c>
      <c r="F56" s="117" t="s">
        <v>55</v>
      </c>
      <c r="G56" s="270"/>
      <c r="H56" s="124"/>
      <c r="I56" s="261"/>
      <c r="J56" s="116"/>
    </row>
    <row r="57" spans="2:10">
      <c r="B57" s="563"/>
      <c r="C57" s="113">
        <f t="shared" si="1"/>
        <v>30216</v>
      </c>
      <c r="D57" s="261" t="str">
        <f t="shared" si="2"/>
        <v>7608</v>
      </c>
      <c r="E57" s="261" t="s">
        <v>134</v>
      </c>
      <c r="F57" s="117" t="s">
        <v>55</v>
      </c>
      <c r="G57" s="270"/>
      <c r="H57" s="124"/>
      <c r="I57" s="261"/>
      <c r="J57" s="116"/>
    </row>
    <row r="58" spans="2:10">
      <c r="B58" s="563"/>
      <c r="C58" s="113">
        <f t="shared" si="1"/>
        <v>30217</v>
      </c>
      <c r="D58" s="261" t="str">
        <f t="shared" si="2"/>
        <v>7609</v>
      </c>
      <c r="E58" s="261" t="s">
        <v>134</v>
      </c>
      <c r="F58" s="117" t="s">
        <v>55</v>
      </c>
      <c r="G58" s="270"/>
      <c r="H58" s="124"/>
      <c r="I58" s="261"/>
      <c r="J58" s="116"/>
    </row>
    <row r="59" spans="2:10">
      <c r="B59" s="563"/>
      <c r="C59" s="113">
        <f t="shared" si="1"/>
        <v>30218</v>
      </c>
      <c r="D59" s="261" t="str">
        <f t="shared" si="2"/>
        <v>760A</v>
      </c>
      <c r="E59" s="261" t="s">
        <v>134</v>
      </c>
      <c r="F59" s="117" t="s">
        <v>55</v>
      </c>
      <c r="G59" s="272"/>
      <c r="H59" s="124"/>
      <c r="I59" s="261"/>
      <c r="J59" s="116"/>
    </row>
    <row r="60" spans="2:10" ht="14.25" thickBot="1">
      <c r="B60" s="564"/>
      <c r="C60" s="131">
        <f>C59+1</f>
        <v>30219</v>
      </c>
      <c r="D60" s="273" t="str">
        <f>DEC2HEX(C60)</f>
        <v>760B</v>
      </c>
      <c r="E60" s="273" t="s">
        <v>134</v>
      </c>
      <c r="F60" s="143" t="s">
        <v>55</v>
      </c>
      <c r="G60" s="274"/>
      <c r="H60" s="136"/>
      <c r="I60" s="273"/>
      <c r="J60" s="149"/>
    </row>
    <row r="61" spans="2:10" ht="13.5" customHeight="1">
      <c r="B61" s="546" t="s">
        <v>89</v>
      </c>
      <c r="C61" s="433">
        <f>30220 + (C9-1) * 150</f>
        <v>30220</v>
      </c>
      <c r="D61" s="549" t="str">
        <f>DEC2HEX(C61)</f>
        <v>760C</v>
      </c>
      <c r="E61" s="549" t="s">
        <v>134</v>
      </c>
      <c r="F61" s="433" t="s">
        <v>673</v>
      </c>
      <c r="G61" s="275" t="s">
        <v>674</v>
      </c>
      <c r="H61" s="550" t="s">
        <v>142</v>
      </c>
      <c r="I61" s="542" t="s">
        <v>132</v>
      </c>
      <c r="J61" s="545"/>
    </row>
    <row r="62" spans="2:10" ht="13.5" customHeight="1">
      <c r="B62" s="547"/>
      <c r="C62" s="429"/>
      <c r="D62" s="520"/>
      <c r="E62" s="520"/>
      <c r="F62" s="429"/>
      <c r="G62" s="187" t="s">
        <v>675</v>
      </c>
      <c r="H62" s="551"/>
      <c r="I62" s="543"/>
      <c r="J62" s="523"/>
    </row>
    <row r="63" spans="2:10" ht="13.5" customHeight="1">
      <c r="B63" s="547"/>
      <c r="C63" s="429"/>
      <c r="D63" s="520"/>
      <c r="E63" s="520"/>
      <c r="F63" s="429"/>
      <c r="G63" s="187" t="s">
        <v>676</v>
      </c>
      <c r="H63" s="551"/>
      <c r="I63" s="543"/>
      <c r="J63" s="523"/>
    </row>
    <row r="64" spans="2:10" ht="13.5" customHeight="1">
      <c r="B64" s="547"/>
      <c r="C64" s="429"/>
      <c r="D64" s="520"/>
      <c r="E64" s="520"/>
      <c r="F64" s="429"/>
      <c r="G64" s="187" t="s">
        <v>677</v>
      </c>
      <c r="H64" s="551"/>
      <c r="I64" s="543"/>
      <c r="J64" s="523"/>
    </row>
    <row r="65" spans="2:10" ht="13.5" customHeight="1">
      <c r="B65" s="547"/>
      <c r="C65" s="429"/>
      <c r="D65" s="520"/>
      <c r="E65" s="520"/>
      <c r="F65" s="429"/>
      <c r="G65" s="187" t="s">
        <v>678</v>
      </c>
      <c r="H65" s="551"/>
      <c r="I65" s="543"/>
      <c r="J65" s="523"/>
    </row>
    <row r="66" spans="2:10" ht="13.5" customHeight="1">
      <c r="B66" s="547"/>
      <c r="C66" s="429"/>
      <c r="D66" s="520"/>
      <c r="E66" s="520"/>
      <c r="F66" s="429"/>
      <c r="G66" s="187" t="s">
        <v>679</v>
      </c>
      <c r="H66" s="551"/>
      <c r="I66" s="543"/>
      <c r="J66" s="523"/>
    </row>
    <row r="67" spans="2:10" ht="13.5" customHeight="1">
      <c r="B67" s="547"/>
      <c r="C67" s="429"/>
      <c r="D67" s="520"/>
      <c r="E67" s="520"/>
      <c r="F67" s="429"/>
      <c r="G67" s="187" t="s">
        <v>680</v>
      </c>
      <c r="H67" s="551"/>
      <c r="I67" s="543"/>
      <c r="J67" s="523"/>
    </row>
    <row r="68" spans="2:10" ht="13.5" customHeight="1">
      <c r="B68" s="547"/>
      <c r="C68" s="429"/>
      <c r="D68" s="520"/>
      <c r="E68" s="520"/>
      <c r="F68" s="429"/>
      <c r="G68" s="187" t="s">
        <v>681</v>
      </c>
      <c r="H68" s="551"/>
      <c r="I68" s="543"/>
      <c r="J68" s="523"/>
    </row>
    <row r="69" spans="2:10" ht="13.5" customHeight="1">
      <c r="B69" s="547"/>
      <c r="C69" s="429"/>
      <c r="D69" s="520"/>
      <c r="E69" s="520"/>
      <c r="F69" s="429"/>
      <c r="G69" s="187" t="s">
        <v>682</v>
      </c>
      <c r="H69" s="551"/>
      <c r="I69" s="543"/>
      <c r="J69" s="523"/>
    </row>
    <row r="70" spans="2:10" ht="13.5" customHeight="1">
      <c r="B70" s="547"/>
      <c r="C70" s="429"/>
      <c r="D70" s="520"/>
      <c r="E70" s="520"/>
      <c r="F70" s="429"/>
      <c r="G70" s="187" t="s">
        <v>683</v>
      </c>
      <c r="H70" s="551"/>
      <c r="I70" s="543"/>
      <c r="J70" s="523"/>
    </row>
    <row r="71" spans="2:10" ht="13.5" customHeight="1">
      <c r="B71" s="547"/>
      <c r="C71" s="429"/>
      <c r="D71" s="520"/>
      <c r="E71" s="520"/>
      <c r="F71" s="429"/>
      <c r="G71" s="187" t="s">
        <v>684</v>
      </c>
      <c r="H71" s="551"/>
      <c r="I71" s="543"/>
      <c r="J71" s="523"/>
    </row>
    <row r="72" spans="2:10" ht="13.5" customHeight="1">
      <c r="B72" s="547"/>
      <c r="C72" s="429"/>
      <c r="D72" s="520"/>
      <c r="E72" s="520"/>
      <c r="F72" s="429"/>
      <c r="G72" s="187" t="s">
        <v>685</v>
      </c>
      <c r="H72" s="551"/>
      <c r="I72" s="543"/>
      <c r="J72" s="523"/>
    </row>
    <row r="73" spans="2:10" ht="13.5" customHeight="1">
      <c r="B73" s="547"/>
      <c r="C73" s="429"/>
      <c r="D73" s="520"/>
      <c r="E73" s="520"/>
      <c r="F73" s="429"/>
      <c r="G73" s="187" t="s">
        <v>686</v>
      </c>
      <c r="H73" s="551"/>
      <c r="I73" s="543"/>
      <c r="J73" s="523"/>
    </row>
    <row r="74" spans="2:10" ht="13.5" customHeight="1">
      <c r="B74" s="547"/>
      <c r="C74" s="429"/>
      <c r="D74" s="520"/>
      <c r="E74" s="520"/>
      <c r="F74" s="429"/>
      <c r="G74" s="187" t="s">
        <v>687</v>
      </c>
      <c r="H74" s="551"/>
      <c r="I74" s="543"/>
      <c r="J74" s="523"/>
    </row>
    <row r="75" spans="2:10" ht="13.5" customHeight="1">
      <c r="B75" s="547"/>
      <c r="C75" s="429"/>
      <c r="D75" s="520"/>
      <c r="E75" s="520"/>
      <c r="F75" s="429"/>
      <c r="G75" s="187" t="s">
        <v>688</v>
      </c>
      <c r="H75" s="551"/>
      <c r="I75" s="544"/>
      <c r="J75" s="524"/>
    </row>
    <row r="76" spans="2:10" ht="13.5" customHeight="1">
      <c r="B76" s="547"/>
      <c r="C76" s="399">
        <f>C61+1</f>
        <v>30221</v>
      </c>
      <c r="D76" s="517" t="str">
        <f>DEC2HEX(C76)</f>
        <v>760D</v>
      </c>
      <c r="E76" s="517" t="s">
        <v>134</v>
      </c>
      <c r="F76" s="429" t="s">
        <v>689</v>
      </c>
      <c r="G76" s="144" t="s">
        <v>690</v>
      </c>
      <c r="H76" s="403" t="s">
        <v>691</v>
      </c>
      <c r="I76" s="517" t="s">
        <v>132</v>
      </c>
      <c r="J76" s="276"/>
    </row>
    <row r="77" spans="2:10" ht="13.5" customHeight="1">
      <c r="B77" s="547"/>
      <c r="C77" s="415"/>
      <c r="D77" s="518"/>
      <c r="E77" s="518"/>
      <c r="F77" s="429"/>
      <c r="G77" s="115" t="s">
        <v>692</v>
      </c>
      <c r="H77" s="416"/>
      <c r="I77" s="518"/>
      <c r="J77" s="157"/>
    </row>
    <row r="78" spans="2:10" ht="13.5" customHeight="1">
      <c r="B78" s="547"/>
      <c r="C78" s="415"/>
      <c r="D78" s="518"/>
      <c r="E78" s="518"/>
      <c r="F78" s="429"/>
      <c r="G78" s="115" t="s">
        <v>693</v>
      </c>
      <c r="H78" s="416"/>
      <c r="I78" s="518"/>
      <c r="J78" s="157" t="s">
        <v>694</v>
      </c>
    </row>
    <row r="79" spans="2:10" ht="13.5" customHeight="1">
      <c r="B79" s="547"/>
      <c r="C79" s="415"/>
      <c r="D79" s="518"/>
      <c r="E79" s="518"/>
      <c r="F79" s="429"/>
      <c r="G79" s="115" t="s">
        <v>695</v>
      </c>
      <c r="H79" s="416"/>
      <c r="I79" s="518"/>
      <c r="J79" s="157" t="s">
        <v>696</v>
      </c>
    </row>
    <row r="80" spans="2:10" ht="13.5" customHeight="1">
      <c r="B80" s="547"/>
      <c r="C80" s="415"/>
      <c r="D80" s="518"/>
      <c r="E80" s="518"/>
      <c r="F80" s="429"/>
      <c r="G80" s="115" t="s">
        <v>697</v>
      </c>
      <c r="H80" s="416"/>
      <c r="I80" s="518"/>
      <c r="J80" s="157" t="s">
        <v>698</v>
      </c>
    </row>
    <row r="81" spans="2:10" ht="13.5" customHeight="1">
      <c r="B81" s="547"/>
      <c r="C81" s="415"/>
      <c r="D81" s="518"/>
      <c r="E81" s="518"/>
      <c r="F81" s="429"/>
      <c r="G81" s="115" t="s">
        <v>699</v>
      </c>
      <c r="H81" s="416"/>
      <c r="I81" s="518"/>
      <c r="J81" s="157" t="s">
        <v>700</v>
      </c>
    </row>
    <row r="82" spans="2:10" ht="13.5" customHeight="1">
      <c r="B82" s="547"/>
      <c r="C82" s="415"/>
      <c r="D82" s="518"/>
      <c r="E82" s="518"/>
      <c r="F82" s="429"/>
      <c r="G82" s="115" t="s">
        <v>701</v>
      </c>
      <c r="H82" s="416"/>
      <c r="I82" s="518"/>
      <c r="J82" s="157" t="s">
        <v>702</v>
      </c>
    </row>
    <row r="83" spans="2:10" ht="13.5" customHeight="1">
      <c r="B83" s="547"/>
      <c r="C83" s="415"/>
      <c r="D83" s="518"/>
      <c r="E83" s="518"/>
      <c r="F83" s="429"/>
      <c r="G83" s="115" t="s">
        <v>703</v>
      </c>
      <c r="H83" s="416"/>
      <c r="I83" s="518"/>
      <c r="J83" s="157" t="s">
        <v>704</v>
      </c>
    </row>
    <row r="84" spans="2:10" ht="13.5" customHeight="1">
      <c r="B84" s="547"/>
      <c r="C84" s="415"/>
      <c r="D84" s="518"/>
      <c r="E84" s="518"/>
      <c r="F84" s="429"/>
      <c r="G84" s="115" t="s">
        <v>246</v>
      </c>
      <c r="H84" s="416"/>
      <c r="I84" s="518"/>
      <c r="J84" s="157" t="s">
        <v>705</v>
      </c>
    </row>
    <row r="85" spans="2:10" ht="13.5" customHeight="1">
      <c r="B85" s="547"/>
      <c r="C85" s="415"/>
      <c r="D85" s="518"/>
      <c r="E85" s="518"/>
      <c r="F85" s="429"/>
      <c r="G85" s="115" t="s">
        <v>245</v>
      </c>
      <c r="H85" s="416"/>
      <c r="I85" s="518"/>
      <c r="J85" s="157" t="s">
        <v>706</v>
      </c>
    </row>
    <row r="86" spans="2:10" ht="13.5" customHeight="1">
      <c r="B86" s="547"/>
      <c r="C86" s="415"/>
      <c r="D86" s="518"/>
      <c r="E86" s="518"/>
      <c r="F86" s="429"/>
      <c r="G86" s="115" t="s">
        <v>707</v>
      </c>
      <c r="H86" s="416"/>
      <c r="I86" s="518"/>
      <c r="J86" s="157" t="s">
        <v>708</v>
      </c>
    </row>
    <row r="87" spans="2:10" ht="13.5" customHeight="1">
      <c r="B87" s="547"/>
      <c r="C87" s="400"/>
      <c r="D87" s="521"/>
      <c r="E87" s="521"/>
      <c r="F87" s="429"/>
      <c r="G87" s="115" t="s">
        <v>709</v>
      </c>
      <c r="H87" s="404"/>
      <c r="I87" s="521"/>
      <c r="J87" s="157" t="s">
        <v>709</v>
      </c>
    </row>
    <row r="88" spans="2:10" ht="13.5" customHeight="1">
      <c r="B88" s="547"/>
      <c r="C88" s="399">
        <f>C76+1</f>
        <v>30222</v>
      </c>
      <c r="D88" s="517" t="str">
        <f>DEC2HEX(C88)</f>
        <v>760E</v>
      </c>
      <c r="E88" s="517" t="s">
        <v>134</v>
      </c>
      <c r="F88" s="429" t="s">
        <v>710</v>
      </c>
      <c r="G88" s="115" t="s">
        <v>711</v>
      </c>
      <c r="H88" s="403" t="s">
        <v>712</v>
      </c>
      <c r="I88" s="517"/>
      <c r="J88" s="157" t="s">
        <v>711</v>
      </c>
    </row>
    <row r="89" spans="2:10" ht="13.5" customHeight="1">
      <c r="B89" s="547"/>
      <c r="C89" s="415"/>
      <c r="D89" s="518"/>
      <c r="E89" s="518"/>
      <c r="F89" s="429"/>
      <c r="G89" s="115" t="s">
        <v>713</v>
      </c>
      <c r="H89" s="416"/>
      <c r="I89" s="518"/>
      <c r="J89" s="157" t="s">
        <v>714</v>
      </c>
    </row>
    <row r="90" spans="2:10" ht="13.5" customHeight="1">
      <c r="B90" s="547"/>
      <c r="C90" s="415"/>
      <c r="D90" s="518"/>
      <c r="E90" s="518"/>
      <c r="F90" s="429"/>
      <c r="G90" s="115" t="s">
        <v>715</v>
      </c>
      <c r="H90" s="416"/>
      <c r="I90" s="518"/>
      <c r="J90" s="157" t="s">
        <v>716</v>
      </c>
    </row>
    <row r="91" spans="2:10" ht="13.5" customHeight="1">
      <c r="B91" s="547"/>
      <c r="C91" s="415"/>
      <c r="D91" s="518"/>
      <c r="E91" s="518"/>
      <c r="F91" s="429"/>
      <c r="G91" s="115" t="s">
        <v>717</v>
      </c>
      <c r="H91" s="416"/>
      <c r="I91" s="518"/>
      <c r="J91" s="157" t="s">
        <v>718</v>
      </c>
    </row>
    <row r="92" spans="2:10" ht="13.5" customHeight="1">
      <c r="B92" s="547"/>
      <c r="C92" s="415"/>
      <c r="D92" s="518"/>
      <c r="E92" s="518"/>
      <c r="F92" s="429"/>
      <c r="G92" s="115" t="s">
        <v>719</v>
      </c>
      <c r="H92" s="416"/>
      <c r="I92" s="518"/>
      <c r="J92" s="157" t="s">
        <v>720</v>
      </c>
    </row>
    <row r="93" spans="2:10" ht="13.5" customHeight="1">
      <c r="B93" s="547"/>
      <c r="C93" s="415"/>
      <c r="D93" s="518"/>
      <c r="E93" s="518"/>
      <c r="F93" s="429"/>
      <c r="G93" s="115" t="s">
        <v>721</v>
      </c>
      <c r="H93" s="416"/>
      <c r="I93" s="518"/>
      <c r="J93" s="157" t="s">
        <v>722</v>
      </c>
    </row>
    <row r="94" spans="2:10" ht="13.5" customHeight="1">
      <c r="B94" s="547"/>
      <c r="C94" s="415"/>
      <c r="D94" s="518"/>
      <c r="E94" s="518"/>
      <c r="F94" s="429"/>
      <c r="G94" s="115" t="s">
        <v>723</v>
      </c>
      <c r="H94" s="416"/>
      <c r="I94" s="518"/>
      <c r="J94" s="157" t="s">
        <v>724</v>
      </c>
    </row>
    <row r="95" spans="2:10" ht="13.5" customHeight="1">
      <c r="B95" s="547"/>
      <c r="C95" s="400"/>
      <c r="D95" s="521"/>
      <c r="E95" s="521"/>
      <c r="F95" s="429"/>
      <c r="G95" s="115" t="s">
        <v>725</v>
      </c>
      <c r="H95" s="404"/>
      <c r="I95" s="521"/>
      <c r="J95" s="157" t="s">
        <v>726</v>
      </c>
    </row>
    <row r="96" spans="2:10" ht="13.5" customHeight="1">
      <c r="B96" s="547"/>
      <c r="C96" s="399">
        <f>C88+1</f>
        <v>30223</v>
      </c>
      <c r="D96" s="517" t="str">
        <f>DEC2HEX(C96)</f>
        <v>760F</v>
      </c>
      <c r="E96" s="517" t="s">
        <v>134</v>
      </c>
      <c r="F96" s="429" t="s">
        <v>727</v>
      </c>
      <c r="G96" s="115" t="s">
        <v>728</v>
      </c>
      <c r="H96" s="517" t="s">
        <v>712</v>
      </c>
      <c r="I96" s="517"/>
      <c r="J96" s="157" t="s">
        <v>729</v>
      </c>
    </row>
    <row r="97" spans="2:10" ht="13.5" customHeight="1">
      <c r="B97" s="547"/>
      <c r="C97" s="415"/>
      <c r="D97" s="518"/>
      <c r="E97" s="518"/>
      <c r="F97" s="429"/>
      <c r="G97" s="115" t="s">
        <v>713</v>
      </c>
      <c r="H97" s="518"/>
      <c r="I97" s="518"/>
      <c r="J97" s="157" t="s">
        <v>714</v>
      </c>
    </row>
    <row r="98" spans="2:10" ht="13.5" customHeight="1">
      <c r="B98" s="547"/>
      <c r="C98" s="415"/>
      <c r="D98" s="518"/>
      <c r="E98" s="518"/>
      <c r="F98" s="429"/>
      <c r="G98" s="115" t="s">
        <v>715</v>
      </c>
      <c r="H98" s="518"/>
      <c r="I98" s="518"/>
      <c r="J98" s="157" t="s">
        <v>716</v>
      </c>
    </row>
    <row r="99" spans="2:10" ht="13.5" customHeight="1">
      <c r="B99" s="547"/>
      <c r="C99" s="415"/>
      <c r="D99" s="518"/>
      <c r="E99" s="518"/>
      <c r="F99" s="429"/>
      <c r="G99" s="115" t="s">
        <v>717</v>
      </c>
      <c r="H99" s="518"/>
      <c r="I99" s="518"/>
      <c r="J99" s="157" t="s">
        <v>718</v>
      </c>
    </row>
    <row r="100" spans="2:10" ht="13.5" customHeight="1">
      <c r="B100" s="547"/>
      <c r="C100" s="415"/>
      <c r="D100" s="518"/>
      <c r="E100" s="518"/>
      <c r="F100" s="429"/>
      <c r="G100" s="115" t="s">
        <v>719</v>
      </c>
      <c r="H100" s="518"/>
      <c r="I100" s="518"/>
      <c r="J100" s="157" t="s">
        <v>720</v>
      </c>
    </row>
    <row r="101" spans="2:10" ht="13.5" customHeight="1">
      <c r="B101" s="547"/>
      <c r="C101" s="415"/>
      <c r="D101" s="518"/>
      <c r="E101" s="518"/>
      <c r="F101" s="429"/>
      <c r="G101" s="115" t="s">
        <v>721</v>
      </c>
      <c r="H101" s="518"/>
      <c r="I101" s="518"/>
      <c r="J101" s="157" t="s">
        <v>722</v>
      </c>
    </row>
    <row r="102" spans="2:10" ht="13.5" customHeight="1">
      <c r="B102" s="547"/>
      <c r="C102" s="415"/>
      <c r="D102" s="518"/>
      <c r="E102" s="518"/>
      <c r="F102" s="429"/>
      <c r="G102" s="115" t="s">
        <v>723</v>
      </c>
      <c r="H102" s="518"/>
      <c r="I102" s="518"/>
      <c r="J102" s="157" t="s">
        <v>724</v>
      </c>
    </row>
    <row r="103" spans="2:10" ht="13.5" customHeight="1">
      <c r="B103" s="547"/>
      <c r="C103" s="400"/>
      <c r="D103" s="521"/>
      <c r="E103" s="521"/>
      <c r="F103" s="429"/>
      <c r="G103" s="115" t="s">
        <v>730</v>
      </c>
      <c r="H103" s="521"/>
      <c r="I103" s="521"/>
      <c r="J103" s="157" t="s">
        <v>730</v>
      </c>
    </row>
    <row r="104" spans="2:10" ht="13.5" customHeight="1">
      <c r="B104" s="547"/>
      <c r="C104" s="113">
        <f>C96+1</f>
        <v>30224</v>
      </c>
      <c r="D104" s="261" t="str">
        <f t="shared" ref="D104:D118" si="3">DEC2HEX(C104)</f>
        <v>7610</v>
      </c>
      <c r="E104" s="261" t="s">
        <v>134</v>
      </c>
      <c r="F104" s="113" t="s">
        <v>731</v>
      </c>
      <c r="G104" s="187" t="s">
        <v>732</v>
      </c>
      <c r="H104" s="272"/>
      <c r="I104" s="261" t="s">
        <v>132</v>
      </c>
      <c r="J104" s="277" t="s">
        <v>733</v>
      </c>
    </row>
    <row r="105" spans="2:10" ht="25.5" customHeight="1">
      <c r="B105" s="547"/>
      <c r="C105" s="113">
        <f t="shared" ref="C105:C118" si="4">C104+1</f>
        <v>30225</v>
      </c>
      <c r="D105" s="261" t="str">
        <f t="shared" si="3"/>
        <v>7611</v>
      </c>
      <c r="E105" s="261" t="s">
        <v>134</v>
      </c>
      <c r="F105" s="113" t="s">
        <v>734</v>
      </c>
      <c r="G105" s="115" t="s">
        <v>735</v>
      </c>
      <c r="H105" s="261" t="s">
        <v>137</v>
      </c>
      <c r="I105" s="261" t="s">
        <v>132</v>
      </c>
      <c r="J105" s="116" t="s">
        <v>736</v>
      </c>
    </row>
    <row r="106" spans="2:10" ht="13.5" customHeight="1">
      <c r="B106" s="547"/>
      <c r="C106" s="113">
        <f t="shared" si="4"/>
        <v>30226</v>
      </c>
      <c r="D106" s="261" t="str">
        <f t="shared" si="3"/>
        <v>7612</v>
      </c>
      <c r="E106" s="517" t="s">
        <v>129</v>
      </c>
      <c r="F106" s="429" t="s">
        <v>737</v>
      </c>
      <c r="G106" s="539" t="s">
        <v>738</v>
      </c>
      <c r="H106" s="517" t="s">
        <v>739</v>
      </c>
      <c r="I106" s="517">
        <v>1</v>
      </c>
      <c r="J106" s="527" t="s">
        <v>740</v>
      </c>
    </row>
    <row r="107" spans="2:10" ht="13.5" customHeight="1">
      <c r="B107" s="547"/>
      <c r="C107" s="113">
        <f t="shared" si="4"/>
        <v>30227</v>
      </c>
      <c r="D107" s="261" t="str">
        <f t="shared" si="3"/>
        <v>7613</v>
      </c>
      <c r="E107" s="521"/>
      <c r="F107" s="429"/>
      <c r="G107" s="540"/>
      <c r="H107" s="521"/>
      <c r="I107" s="521"/>
      <c r="J107" s="541"/>
    </row>
    <row r="108" spans="2:10" ht="13.5" customHeight="1">
      <c r="B108" s="547"/>
      <c r="C108" s="113">
        <f t="shared" si="4"/>
        <v>30228</v>
      </c>
      <c r="D108" s="261" t="str">
        <f t="shared" si="3"/>
        <v>7614</v>
      </c>
      <c r="E108" s="261" t="s">
        <v>134</v>
      </c>
      <c r="F108" s="113" t="s">
        <v>741</v>
      </c>
      <c r="G108" s="187" t="s">
        <v>742</v>
      </c>
      <c r="H108" s="261" t="s">
        <v>277</v>
      </c>
      <c r="I108" s="261">
        <v>0.01</v>
      </c>
      <c r="J108" s="278" t="s">
        <v>743</v>
      </c>
    </row>
    <row r="109" spans="2:10" ht="13.5" customHeight="1">
      <c r="B109" s="547"/>
      <c r="C109" s="113">
        <f t="shared" si="4"/>
        <v>30229</v>
      </c>
      <c r="D109" s="261" t="str">
        <f t="shared" si="3"/>
        <v>7615</v>
      </c>
      <c r="E109" s="261" t="s">
        <v>134</v>
      </c>
      <c r="F109" s="113" t="s">
        <v>744</v>
      </c>
      <c r="G109" s="187" t="s">
        <v>745</v>
      </c>
      <c r="H109" s="261" t="s">
        <v>277</v>
      </c>
      <c r="I109" s="261">
        <v>0.01</v>
      </c>
      <c r="J109" s="278" t="s">
        <v>743</v>
      </c>
    </row>
    <row r="110" spans="2:10" ht="13.5" customHeight="1">
      <c r="B110" s="547"/>
      <c r="C110" s="113">
        <f t="shared" si="4"/>
        <v>30230</v>
      </c>
      <c r="D110" s="261" t="str">
        <f t="shared" si="3"/>
        <v>7616</v>
      </c>
      <c r="E110" s="517" t="s">
        <v>129</v>
      </c>
      <c r="F110" s="429" t="s">
        <v>746</v>
      </c>
      <c r="G110" s="537" t="s">
        <v>747</v>
      </c>
      <c r="H110" s="517" t="s">
        <v>299</v>
      </c>
      <c r="I110" s="517">
        <v>1E-3</v>
      </c>
      <c r="J110" s="527" t="s">
        <v>748</v>
      </c>
    </row>
    <row r="111" spans="2:10" ht="13.5" customHeight="1">
      <c r="B111" s="547"/>
      <c r="C111" s="113">
        <f t="shared" si="4"/>
        <v>30231</v>
      </c>
      <c r="D111" s="261" t="str">
        <f t="shared" si="3"/>
        <v>7617</v>
      </c>
      <c r="E111" s="521"/>
      <c r="F111" s="429"/>
      <c r="G111" s="538"/>
      <c r="H111" s="521"/>
      <c r="I111" s="521"/>
      <c r="J111" s="528"/>
    </row>
    <row r="112" spans="2:10" ht="13.5" customHeight="1">
      <c r="B112" s="547"/>
      <c r="C112" s="113">
        <f t="shared" si="4"/>
        <v>30232</v>
      </c>
      <c r="D112" s="261" t="str">
        <f t="shared" si="3"/>
        <v>7618</v>
      </c>
      <c r="E112" s="517" t="s">
        <v>129</v>
      </c>
      <c r="F112" s="429" t="s">
        <v>749</v>
      </c>
      <c r="G112" s="537" t="s">
        <v>750</v>
      </c>
      <c r="H112" s="517" t="s">
        <v>299</v>
      </c>
      <c r="I112" s="517">
        <v>1E-3</v>
      </c>
      <c r="J112" s="527" t="s">
        <v>748</v>
      </c>
    </row>
    <row r="113" spans="2:10" ht="13.5" customHeight="1">
      <c r="B113" s="547"/>
      <c r="C113" s="113">
        <f t="shared" si="4"/>
        <v>30233</v>
      </c>
      <c r="D113" s="261" t="str">
        <f t="shared" si="3"/>
        <v>7619</v>
      </c>
      <c r="E113" s="521"/>
      <c r="F113" s="429"/>
      <c r="G113" s="538"/>
      <c r="H113" s="521"/>
      <c r="I113" s="521"/>
      <c r="J113" s="528"/>
    </row>
    <row r="114" spans="2:10" ht="13.5" customHeight="1">
      <c r="B114" s="547"/>
      <c r="C114" s="113">
        <f t="shared" si="4"/>
        <v>30234</v>
      </c>
      <c r="D114" s="261" t="str">
        <f t="shared" si="3"/>
        <v>761A</v>
      </c>
      <c r="E114" s="517" t="s">
        <v>129</v>
      </c>
      <c r="F114" s="429" t="s">
        <v>751</v>
      </c>
      <c r="G114" s="537" t="s">
        <v>752</v>
      </c>
      <c r="H114" s="517" t="s">
        <v>284</v>
      </c>
      <c r="I114" s="517">
        <v>1E-4</v>
      </c>
      <c r="J114" s="527" t="s">
        <v>753</v>
      </c>
    </row>
    <row r="115" spans="2:10" ht="13.5" customHeight="1">
      <c r="B115" s="547"/>
      <c r="C115" s="113">
        <f t="shared" si="4"/>
        <v>30235</v>
      </c>
      <c r="D115" s="261" t="str">
        <f t="shared" si="3"/>
        <v>761B</v>
      </c>
      <c r="E115" s="521"/>
      <c r="F115" s="429"/>
      <c r="G115" s="538"/>
      <c r="H115" s="521"/>
      <c r="I115" s="521"/>
      <c r="J115" s="528"/>
    </row>
    <row r="116" spans="2:10" ht="13.5" customHeight="1">
      <c r="B116" s="547"/>
      <c r="C116" s="113">
        <f t="shared" si="4"/>
        <v>30236</v>
      </c>
      <c r="D116" s="261" t="str">
        <f t="shared" si="3"/>
        <v>761C</v>
      </c>
      <c r="E116" s="535" t="s">
        <v>754</v>
      </c>
      <c r="F116" s="429" t="s">
        <v>755</v>
      </c>
      <c r="G116" s="537" t="s">
        <v>756</v>
      </c>
      <c r="H116" s="517" t="s">
        <v>294</v>
      </c>
      <c r="I116" s="517">
        <v>1E-3</v>
      </c>
      <c r="J116" s="527" t="s">
        <v>757</v>
      </c>
    </row>
    <row r="117" spans="2:10" ht="13.5" customHeight="1">
      <c r="B117" s="547"/>
      <c r="C117" s="113">
        <f t="shared" si="4"/>
        <v>30237</v>
      </c>
      <c r="D117" s="261" t="str">
        <f t="shared" si="3"/>
        <v>761D</v>
      </c>
      <c r="E117" s="536"/>
      <c r="F117" s="429"/>
      <c r="G117" s="538"/>
      <c r="H117" s="521"/>
      <c r="I117" s="521"/>
      <c r="J117" s="528"/>
    </row>
    <row r="118" spans="2:10" ht="13.5" customHeight="1">
      <c r="B118" s="547"/>
      <c r="C118" s="423">
        <f t="shared" si="4"/>
        <v>30238</v>
      </c>
      <c r="D118" s="525" t="str">
        <f t="shared" si="3"/>
        <v>761E</v>
      </c>
      <c r="E118" s="525" t="s">
        <v>134</v>
      </c>
      <c r="F118" s="525" t="s">
        <v>758</v>
      </c>
      <c r="G118" s="280" t="s">
        <v>759</v>
      </c>
      <c r="H118" s="525" t="s">
        <v>132</v>
      </c>
      <c r="I118" s="525" t="s">
        <v>132</v>
      </c>
      <c r="J118" s="532"/>
    </row>
    <row r="119" spans="2:10" ht="13.5" customHeight="1">
      <c r="B119" s="547"/>
      <c r="C119" s="424"/>
      <c r="D119" s="531"/>
      <c r="E119" s="531"/>
      <c r="F119" s="531"/>
      <c r="G119" s="280" t="s">
        <v>760</v>
      </c>
      <c r="H119" s="531"/>
      <c r="I119" s="531"/>
      <c r="J119" s="533"/>
    </row>
    <row r="120" spans="2:10" ht="13.5" customHeight="1">
      <c r="B120" s="547"/>
      <c r="C120" s="424"/>
      <c r="D120" s="531"/>
      <c r="E120" s="531"/>
      <c r="F120" s="531"/>
      <c r="G120" s="280" t="s">
        <v>263</v>
      </c>
      <c r="H120" s="531"/>
      <c r="I120" s="531"/>
      <c r="J120" s="533"/>
    </row>
    <row r="121" spans="2:10" ht="13.5" customHeight="1">
      <c r="B121" s="547"/>
      <c r="C121" s="424"/>
      <c r="D121" s="531"/>
      <c r="E121" s="531"/>
      <c r="F121" s="526"/>
      <c r="G121" s="280" t="s">
        <v>261</v>
      </c>
      <c r="H121" s="526"/>
      <c r="I121" s="526"/>
      <c r="J121" s="534"/>
    </row>
    <row r="122" spans="2:10" ht="13.5" customHeight="1">
      <c r="B122" s="547"/>
      <c r="C122" s="424"/>
      <c r="D122" s="531"/>
      <c r="E122" s="531"/>
      <c r="F122" s="525" t="s">
        <v>761</v>
      </c>
      <c r="G122" s="280" t="s">
        <v>762</v>
      </c>
      <c r="H122" s="525" t="s">
        <v>132</v>
      </c>
      <c r="I122" s="525" t="s">
        <v>132</v>
      </c>
      <c r="J122" s="532"/>
    </row>
    <row r="123" spans="2:10" ht="13.5" customHeight="1">
      <c r="B123" s="547"/>
      <c r="C123" s="424"/>
      <c r="D123" s="531"/>
      <c r="E123" s="531"/>
      <c r="F123" s="531"/>
      <c r="G123" s="280" t="s">
        <v>763</v>
      </c>
      <c r="H123" s="531"/>
      <c r="I123" s="531"/>
      <c r="J123" s="533"/>
    </row>
    <row r="124" spans="2:10" ht="13.5" customHeight="1">
      <c r="B124" s="547"/>
      <c r="C124" s="424"/>
      <c r="D124" s="531"/>
      <c r="E124" s="531"/>
      <c r="F124" s="531"/>
      <c r="G124" s="280" t="s">
        <v>764</v>
      </c>
      <c r="H124" s="531"/>
      <c r="I124" s="531"/>
      <c r="J124" s="533"/>
    </row>
    <row r="125" spans="2:10" ht="13.5" customHeight="1">
      <c r="B125" s="547"/>
      <c r="C125" s="424"/>
      <c r="D125" s="531"/>
      <c r="E125" s="531"/>
      <c r="F125" s="526"/>
      <c r="G125" s="280" t="s">
        <v>765</v>
      </c>
      <c r="H125" s="526"/>
      <c r="I125" s="526"/>
      <c r="J125" s="534"/>
    </row>
    <row r="126" spans="2:10" ht="13.5" customHeight="1">
      <c r="B126" s="547"/>
      <c r="C126" s="424"/>
      <c r="D126" s="531"/>
      <c r="E126" s="531"/>
      <c r="F126" s="525" t="s">
        <v>766</v>
      </c>
      <c r="G126" s="280" t="s">
        <v>767</v>
      </c>
      <c r="H126" s="525" t="s">
        <v>132</v>
      </c>
      <c r="I126" s="525" t="s">
        <v>132</v>
      </c>
      <c r="J126" s="532"/>
    </row>
    <row r="127" spans="2:10" ht="13.5" customHeight="1">
      <c r="B127" s="547"/>
      <c r="C127" s="424"/>
      <c r="D127" s="531"/>
      <c r="E127" s="531"/>
      <c r="F127" s="531"/>
      <c r="G127" s="280" t="s">
        <v>768</v>
      </c>
      <c r="H127" s="531"/>
      <c r="I127" s="531"/>
      <c r="J127" s="533"/>
    </row>
    <row r="128" spans="2:10" ht="13.5" customHeight="1">
      <c r="B128" s="547"/>
      <c r="C128" s="424"/>
      <c r="D128" s="531"/>
      <c r="E128" s="531"/>
      <c r="F128" s="531"/>
      <c r="G128" s="280" t="s">
        <v>769</v>
      </c>
      <c r="H128" s="531"/>
      <c r="I128" s="531"/>
      <c r="J128" s="533"/>
    </row>
    <row r="129" spans="2:10" ht="13.5" customHeight="1">
      <c r="B129" s="547"/>
      <c r="C129" s="424"/>
      <c r="D129" s="531"/>
      <c r="E129" s="531"/>
      <c r="F129" s="526"/>
      <c r="G129" s="280" t="s">
        <v>770</v>
      </c>
      <c r="H129" s="526"/>
      <c r="I129" s="526"/>
      <c r="J129" s="534"/>
    </row>
    <row r="130" spans="2:10" ht="13.5" customHeight="1">
      <c r="B130" s="547"/>
      <c r="C130" s="424"/>
      <c r="D130" s="531"/>
      <c r="E130" s="531"/>
      <c r="F130" s="525" t="s">
        <v>771</v>
      </c>
      <c r="G130" s="280" t="s">
        <v>772</v>
      </c>
      <c r="H130" s="525" t="s">
        <v>132</v>
      </c>
      <c r="I130" s="525" t="s">
        <v>132</v>
      </c>
      <c r="J130" s="532"/>
    </row>
    <row r="131" spans="2:10" ht="13.5" customHeight="1">
      <c r="B131" s="547"/>
      <c r="C131" s="424"/>
      <c r="D131" s="531"/>
      <c r="E131" s="531"/>
      <c r="F131" s="531"/>
      <c r="G131" s="280" t="s">
        <v>773</v>
      </c>
      <c r="H131" s="531"/>
      <c r="I131" s="531"/>
      <c r="J131" s="533"/>
    </row>
    <row r="132" spans="2:10" ht="13.5" customHeight="1">
      <c r="B132" s="547"/>
      <c r="C132" s="424"/>
      <c r="D132" s="531"/>
      <c r="E132" s="531"/>
      <c r="F132" s="531"/>
      <c r="G132" s="280" t="s">
        <v>245</v>
      </c>
      <c r="H132" s="531"/>
      <c r="I132" s="531"/>
      <c r="J132" s="533"/>
    </row>
    <row r="133" spans="2:10" ht="13.5" customHeight="1">
      <c r="B133" s="547"/>
      <c r="C133" s="425"/>
      <c r="D133" s="526"/>
      <c r="E133" s="526"/>
      <c r="F133" s="526"/>
      <c r="G133" s="280" t="s">
        <v>242</v>
      </c>
      <c r="H133" s="526"/>
      <c r="I133" s="526"/>
      <c r="J133" s="534"/>
    </row>
    <row r="134" spans="2:10" ht="13.5" customHeight="1">
      <c r="B134" s="547"/>
      <c r="C134" s="423">
        <f>C118+1</f>
        <v>30239</v>
      </c>
      <c r="D134" s="525" t="str">
        <f>DEC2HEX(C134)</f>
        <v>761F</v>
      </c>
      <c r="E134" s="525" t="s">
        <v>134</v>
      </c>
      <c r="F134" s="530" t="s">
        <v>774</v>
      </c>
      <c r="G134" s="280" t="s">
        <v>759</v>
      </c>
      <c r="H134" s="525" t="s">
        <v>132</v>
      </c>
      <c r="I134" s="525" t="s">
        <v>132</v>
      </c>
      <c r="J134" s="532"/>
    </row>
    <row r="135" spans="2:10" ht="13.5" customHeight="1">
      <c r="B135" s="547"/>
      <c r="C135" s="424"/>
      <c r="D135" s="531"/>
      <c r="E135" s="531"/>
      <c r="F135" s="530"/>
      <c r="G135" s="280" t="s">
        <v>760</v>
      </c>
      <c r="H135" s="531"/>
      <c r="I135" s="531"/>
      <c r="J135" s="533"/>
    </row>
    <row r="136" spans="2:10" ht="13.5" customHeight="1">
      <c r="B136" s="547"/>
      <c r="C136" s="424"/>
      <c r="D136" s="531"/>
      <c r="E136" s="531"/>
      <c r="F136" s="530"/>
      <c r="G136" s="280" t="s">
        <v>263</v>
      </c>
      <c r="H136" s="531"/>
      <c r="I136" s="531"/>
      <c r="J136" s="533"/>
    </row>
    <row r="137" spans="2:10" ht="13.5" customHeight="1">
      <c r="B137" s="547"/>
      <c r="C137" s="424"/>
      <c r="D137" s="531"/>
      <c r="E137" s="531"/>
      <c r="F137" s="530"/>
      <c r="G137" s="280" t="s">
        <v>261</v>
      </c>
      <c r="H137" s="526"/>
      <c r="I137" s="526"/>
      <c r="J137" s="534"/>
    </row>
    <row r="138" spans="2:10" ht="13.5" customHeight="1">
      <c r="B138" s="547"/>
      <c r="C138" s="424"/>
      <c r="D138" s="531"/>
      <c r="E138" s="531"/>
      <c r="F138" s="530" t="s">
        <v>62</v>
      </c>
      <c r="G138" s="280" t="s">
        <v>762</v>
      </c>
      <c r="H138" s="525" t="s">
        <v>132</v>
      </c>
      <c r="I138" s="525" t="s">
        <v>132</v>
      </c>
      <c r="J138" s="532"/>
    </row>
    <row r="139" spans="2:10" ht="13.5" customHeight="1">
      <c r="B139" s="547"/>
      <c r="C139" s="424"/>
      <c r="D139" s="531"/>
      <c r="E139" s="531"/>
      <c r="F139" s="530"/>
      <c r="G139" s="280" t="s">
        <v>763</v>
      </c>
      <c r="H139" s="531"/>
      <c r="I139" s="531"/>
      <c r="J139" s="533"/>
    </row>
    <row r="140" spans="2:10" ht="13.5" customHeight="1">
      <c r="B140" s="547"/>
      <c r="C140" s="424"/>
      <c r="D140" s="531"/>
      <c r="E140" s="531"/>
      <c r="F140" s="530"/>
      <c r="G140" s="280" t="s">
        <v>764</v>
      </c>
      <c r="H140" s="531"/>
      <c r="I140" s="531"/>
      <c r="J140" s="533"/>
    </row>
    <row r="141" spans="2:10" ht="13.5" customHeight="1">
      <c r="B141" s="547"/>
      <c r="C141" s="424"/>
      <c r="D141" s="531"/>
      <c r="E141" s="531"/>
      <c r="F141" s="530"/>
      <c r="G141" s="280" t="s">
        <v>765</v>
      </c>
      <c r="H141" s="526"/>
      <c r="I141" s="526"/>
      <c r="J141" s="534"/>
    </row>
    <row r="142" spans="2:10" ht="13.5" customHeight="1">
      <c r="B142" s="547"/>
      <c r="C142" s="424"/>
      <c r="D142" s="531"/>
      <c r="E142" s="531"/>
      <c r="F142" s="530" t="s">
        <v>62</v>
      </c>
      <c r="G142" s="280" t="s">
        <v>767</v>
      </c>
      <c r="H142" s="525" t="s">
        <v>132</v>
      </c>
      <c r="I142" s="525" t="s">
        <v>132</v>
      </c>
      <c r="J142" s="532"/>
    </row>
    <row r="143" spans="2:10" ht="13.5" customHeight="1">
      <c r="B143" s="547"/>
      <c r="C143" s="424"/>
      <c r="D143" s="531"/>
      <c r="E143" s="531"/>
      <c r="F143" s="530"/>
      <c r="G143" s="280" t="s">
        <v>768</v>
      </c>
      <c r="H143" s="531"/>
      <c r="I143" s="531"/>
      <c r="J143" s="533"/>
    </row>
    <row r="144" spans="2:10" ht="13.5" customHeight="1">
      <c r="B144" s="547"/>
      <c r="C144" s="424"/>
      <c r="D144" s="531"/>
      <c r="E144" s="531"/>
      <c r="F144" s="530"/>
      <c r="G144" s="280" t="s">
        <v>769</v>
      </c>
      <c r="H144" s="531"/>
      <c r="I144" s="531"/>
      <c r="J144" s="533"/>
    </row>
    <row r="145" spans="2:10" ht="13.5" customHeight="1">
      <c r="B145" s="547"/>
      <c r="C145" s="424"/>
      <c r="D145" s="531"/>
      <c r="E145" s="531"/>
      <c r="F145" s="530"/>
      <c r="G145" s="280" t="s">
        <v>770</v>
      </c>
      <c r="H145" s="526"/>
      <c r="I145" s="526"/>
      <c r="J145" s="534"/>
    </row>
    <row r="146" spans="2:10" ht="13.5" customHeight="1">
      <c r="B146" s="547"/>
      <c r="C146" s="424"/>
      <c r="D146" s="531"/>
      <c r="E146" s="531"/>
      <c r="F146" s="530" t="s">
        <v>775</v>
      </c>
      <c r="G146" s="280" t="s">
        <v>772</v>
      </c>
      <c r="H146" s="525" t="s">
        <v>132</v>
      </c>
      <c r="I146" s="525" t="s">
        <v>132</v>
      </c>
      <c r="J146" s="532"/>
    </row>
    <row r="147" spans="2:10" ht="13.5" customHeight="1">
      <c r="B147" s="547"/>
      <c r="C147" s="424"/>
      <c r="D147" s="531"/>
      <c r="E147" s="531"/>
      <c r="F147" s="530"/>
      <c r="G147" s="280" t="s">
        <v>773</v>
      </c>
      <c r="H147" s="531"/>
      <c r="I147" s="531"/>
      <c r="J147" s="533"/>
    </row>
    <row r="148" spans="2:10" ht="13.5" customHeight="1">
      <c r="B148" s="547"/>
      <c r="C148" s="424"/>
      <c r="D148" s="531"/>
      <c r="E148" s="531"/>
      <c r="F148" s="530"/>
      <c r="G148" s="280" t="s">
        <v>245</v>
      </c>
      <c r="H148" s="531"/>
      <c r="I148" s="531"/>
      <c r="J148" s="533"/>
    </row>
    <row r="149" spans="2:10" ht="13.5" customHeight="1">
      <c r="B149" s="547"/>
      <c r="C149" s="425"/>
      <c r="D149" s="526"/>
      <c r="E149" s="526"/>
      <c r="F149" s="530"/>
      <c r="G149" s="280" t="s">
        <v>242</v>
      </c>
      <c r="H149" s="526"/>
      <c r="I149" s="526"/>
      <c r="J149" s="534"/>
    </row>
    <row r="150" spans="2:10" ht="13.5" customHeight="1">
      <c r="B150" s="547"/>
      <c r="C150" s="423">
        <f>C134+1</f>
        <v>30240</v>
      </c>
      <c r="D150" s="525" t="str">
        <f>DEC2HEX(C150)</f>
        <v>7620</v>
      </c>
      <c r="E150" s="525" t="s">
        <v>134</v>
      </c>
      <c r="F150" s="525" t="s">
        <v>776</v>
      </c>
      <c r="G150" s="280" t="s">
        <v>759</v>
      </c>
      <c r="H150" s="525" t="s">
        <v>132</v>
      </c>
      <c r="I150" s="525" t="s">
        <v>132</v>
      </c>
      <c r="J150" s="532"/>
    </row>
    <row r="151" spans="2:10" ht="13.5" customHeight="1">
      <c r="B151" s="547"/>
      <c r="C151" s="424"/>
      <c r="D151" s="531"/>
      <c r="E151" s="531"/>
      <c r="F151" s="531"/>
      <c r="G151" s="280" t="s">
        <v>760</v>
      </c>
      <c r="H151" s="531"/>
      <c r="I151" s="531"/>
      <c r="J151" s="533"/>
    </row>
    <row r="152" spans="2:10" ht="13.5" customHeight="1">
      <c r="B152" s="547"/>
      <c r="C152" s="424"/>
      <c r="D152" s="531"/>
      <c r="E152" s="531"/>
      <c r="F152" s="531"/>
      <c r="G152" s="280" t="s">
        <v>263</v>
      </c>
      <c r="H152" s="531"/>
      <c r="I152" s="531"/>
      <c r="J152" s="533"/>
    </row>
    <row r="153" spans="2:10" ht="13.5" customHeight="1">
      <c r="B153" s="547"/>
      <c r="C153" s="424"/>
      <c r="D153" s="531"/>
      <c r="E153" s="531"/>
      <c r="F153" s="526"/>
      <c r="G153" s="280" t="s">
        <v>261</v>
      </c>
      <c r="H153" s="526"/>
      <c r="I153" s="526"/>
      <c r="J153" s="534"/>
    </row>
    <row r="154" spans="2:10" ht="13.5" customHeight="1">
      <c r="B154" s="547"/>
      <c r="C154" s="424"/>
      <c r="D154" s="531"/>
      <c r="E154" s="531"/>
      <c r="F154" s="525" t="s">
        <v>777</v>
      </c>
      <c r="G154" s="280" t="s">
        <v>762</v>
      </c>
      <c r="H154" s="525" t="s">
        <v>132</v>
      </c>
      <c r="I154" s="525" t="s">
        <v>132</v>
      </c>
      <c r="J154" s="532"/>
    </row>
    <row r="155" spans="2:10" ht="13.5" customHeight="1">
      <c r="B155" s="547"/>
      <c r="C155" s="424"/>
      <c r="D155" s="531"/>
      <c r="E155" s="531"/>
      <c r="F155" s="531"/>
      <c r="G155" s="280" t="s">
        <v>763</v>
      </c>
      <c r="H155" s="531"/>
      <c r="I155" s="531"/>
      <c r="J155" s="533"/>
    </row>
    <row r="156" spans="2:10" ht="13.5" customHeight="1">
      <c r="B156" s="547"/>
      <c r="C156" s="424"/>
      <c r="D156" s="531"/>
      <c r="E156" s="531"/>
      <c r="F156" s="531"/>
      <c r="G156" s="280" t="s">
        <v>764</v>
      </c>
      <c r="H156" s="531"/>
      <c r="I156" s="531"/>
      <c r="J156" s="533"/>
    </row>
    <row r="157" spans="2:10" ht="13.5" customHeight="1">
      <c r="B157" s="547"/>
      <c r="C157" s="424"/>
      <c r="D157" s="531"/>
      <c r="E157" s="531"/>
      <c r="F157" s="526"/>
      <c r="G157" s="280" t="s">
        <v>765</v>
      </c>
      <c r="H157" s="526"/>
      <c r="I157" s="526"/>
      <c r="J157" s="534"/>
    </row>
    <row r="158" spans="2:10" ht="13.5" customHeight="1">
      <c r="B158" s="547"/>
      <c r="C158" s="424"/>
      <c r="D158" s="531"/>
      <c r="E158" s="531"/>
      <c r="F158" s="517" t="s">
        <v>132</v>
      </c>
      <c r="G158" s="280" t="s">
        <v>767</v>
      </c>
      <c r="H158" s="525" t="s">
        <v>132</v>
      </c>
      <c r="I158" s="525" t="s">
        <v>132</v>
      </c>
      <c r="J158" s="532"/>
    </row>
    <row r="159" spans="2:10" ht="13.5" customHeight="1">
      <c r="B159" s="547"/>
      <c r="C159" s="424"/>
      <c r="D159" s="531"/>
      <c r="E159" s="531"/>
      <c r="F159" s="518"/>
      <c r="G159" s="280" t="s">
        <v>768</v>
      </c>
      <c r="H159" s="531"/>
      <c r="I159" s="531"/>
      <c r="J159" s="533"/>
    </row>
    <row r="160" spans="2:10" ht="13.5" customHeight="1">
      <c r="B160" s="547"/>
      <c r="C160" s="424"/>
      <c r="D160" s="531"/>
      <c r="E160" s="531"/>
      <c r="F160" s="518"/>
      <c r="G160" s="280" t="s">
        <v>769</v>
      </c>
      <c r="H160" s="531"/>
      <c r="I160" s="531"/>
      <c r="J160" s="533"/>
    </row>
    <row r="161" spans="2:10" ht="13.5" customHeight="1">
      <c r="B161" s="547"/>
      <c r="C161" s="424"/>
      <c r="D161" s="531"/>
      <c r="E161" s="531"/>
      <c r="F161" s="521"/>
      <c r="G161" s="280" t="s">
        <v>770</v>
      </c>
      <c r="H161" s="526"/>
      <c r="I161" s="526"/>
      <c r="J161" s="534"/>
    </row>
    <row r="162" spans="2:10" ht="13.5" customHeight="1">
      <c r="B162" s="547"/>
      <c r="C162" s="424"/>
      <c r="D162" s="531"/>
      <c r="E162" s="531"/>
      <c r="F162" s="530" t="s">
        <v>778</v>
      </c>
      <c r="G162" s="280" t="s">
        <v>772</v>
      </c>
      <c r="H162" s="525" t="s">
        <v>132</v>
      </c>
      <c r="I162" s="525" t="s">
        <v>132</v>
      </c>
      <c r="J162" s="532"/>
    </row>
    <row r="163" spans="2:10" ht="13.5" customHeight="1">
      <c r="B163" s="547"/>
      <c r="C163" s="424"/>
      <c r="D163" s="531"/>
      <c r="E163" s="531"/>
      <c r="F163" s="530"/>
      <c r="G163" s="280" t="s">
        <v>773</v>
      </c>
      <c r="H163" s="531"/>
      <c r="I163" s="531"/>
      <c r="J163" s="533"/>
    </row>
    <row r="164" spans="2:10" ht="13.5" customHeight="1">
      <c r="B164" s="547"/>
      <c r="C164" s="424"/>
      <c r="D164" s="531"/>
      <c r="E164" s="531"/>
      <c r="F164" s="530"/>
      <c r="G164" s="280" t="s">
        <v>245</v>
      </c>
      <c r="H164" s="531"/>
      <c r="I164" s="531"/>
      <c r="J164" s="533"/>
    </row>
    <row r="165" spans="2:10" ht="13.5" customHeight="1">
      <c r="B165" s="547"/>
      <c r="C165" s="425"/>
      <c r="D165" s="526"/>
      <c r="E165" s="526"/>
      <c r="F165" s="530"/>
      <c r="G165" s="280" t="s">
        <v>242</v>
      </c>
      <c r="H165" s="526"/>
      <c r="I165" s="526"/>
      <c r="J165" s="534"/>
    </row>
    <row r="166" spans="2:10" ht="13.5" customHeight="1">
      <c r="B166" s="547"/>
      <c r="C166" s="423">
        <f>C150+1</f>
        <v>30241</v>
      </c>
      <c r="D166" s="525" t="str">
        <f>DEC2HEX(C166)</f>
        <v>7621</v>
      </c>
      <c r="E166" s="525" t="s">
        <v>134</v>
      </c>
      <c r="F166" s="525" t="s">
        <v>779</v>
      </c>
      <c r="G166" s="280" t="s">
        <v>759</v>
      </c>
      <c r="H166" s="525" t="s">
        <v>132</v>
      </c>
      <c r="I166" s="525" t="s">
        <v>132</v>
      </c>
      <c r="J166" s="532"/>
    </row>
    <row r="167" spans="2:10" ht="13.5" customHeight="1">
      <c r="B167" s="547"/>
      <c r="C167" s="424"/>
      <c r="D167" s="531"/>
      <c r="E167" s="531"/>
      <c r="F167" s="531"/>
      <c r="G167" s="280" t="s">
        <v>760</v>
      </c>
      <c r="H167" s="531"/>
      <c r="I167" s="531"/>
      <c r="J167" s="533"/>
    </row>
    <row r="168" spans="2:10" ht="13.5" customHeight="1">
      <c r="B168" s="547"/>
      <c r="C168" s="424"/>
      <c r="D168" s="531"/>
      <c r="E168" s="531"/>
      <c r="F168" s="531"/>
      <c r="G168" s="280" t="s">
        <v>263</v>
      </c>
      <c r="H168" s="531"/>
      <c r="I168" s="531"/>
      <c r="J168" s="533"/>
    </row>
    <row r="169" spans="2:10" ht="13.5" customHeight="1">
      <c r="B169" s="547"/>
      <c r="C169" s="424"/>
      <c r="D169" s="531"/>
      <c r="E169" s="531"/>
      <c r="F169" s="526"/>
      <c r="G169" s="280" t="s">
        <v>261</v>
      </c>
      <c r="H169" s="526"/>
      <c r="I169" s="526"/>
      <c r="J169" s="534"/>
    </row>
    <row r="170" spans="2:10" ht="13.5" customHeight="1">
      <c r="B170" s="547"/>
      <c r="C170" s="424"/>
      <c r="D170" s="531"/>
      <c r="E170" s="531"/>
      <c r="F170" s="517" t="s">
        <v>132</v>
      </c>
      <c r="G170" s="280" t="s">
        <v>762</v>
      </c>
      <c r="H170" s="525" t="s">
        <v>132</v>
      </c>
      <c r="I170" s="525" t="s">
        <v>132</v>
      </c>
      <c r="J170" s="532"/>
    </row>
    <row r="171" spans="2:10" ht="13.5" customHeight="1">
      <c r="B171" s="547"/>
      <c r="C171" s="424"/>
      <c r="D171" s="531"/>
      <c r="E171" s="531"/>
      <c r="F171" s="518"/>
      <c r="G171" s="280" t="s">
        <v>763</v>
      </c>
      <c r="H171" s="531"/>
      <c r="I171" s="531"/>
      <c r="J171" s="533"/>
    </row>
    <row r="172" spans="2:10" ht="13.5" customHeight="1">
      <c r="B172" s="547"/>
      <c r="C172" s="424"/>
      <c r="D172" s="531"/>
      <c r="E172" s="531"/>
      <c r="F172" s="518"/>
      <c r="G172" s="280" t="s">
        <v>764</v>
      </c>
      <c r="H172" s="531"/>
      <c r="I172" s="531"/>
      <c r="J172" s="533"/>
    </row>
    <row r="173" spans="2:10" ht="13.5" customHeight="1">
      <c r="B173" s="547"/>
      <c r="C173" s="424"/>
      <c r="D173" s="531"/>
      <c r="E173" s="531"/>
      <c r="F173" s="521"/>
      <c r="G173" s="280" t="s">
        <v>765</v>
      </c>
      <c r="H173" s="526"/>
      <c r="I173" s="526"/>
      <c r="J173" s="534"/>
    </row>
    <row r="174" spans="2:10" ht="13.5" customHeight="1">
      <c r="B174" s="547"/>
      <c r="C174" s="424"/>
      <c r="D174" s="531"/>
      <c r="E174" s="531"/>
      <c r="F174" s="517" t="s">
        <v>62</v>
      </c>
      <c r="G174" s="280" t="s">
        <v>767</v>
      </c>
      <c r="H174" s="525" t="s">
        <v>132</v>
      </c>
      <c r="I174" s="525" t="s">
        <v>132</v>
      </c>
      <c r="J174" s="532"/>
    </row>
    <row r="175" spans="2:10" ht="13.5" customHeight="1">
      <c r="B175" s="547"/>
      <c r="C175" s="424"/>
      <c r="D175" s="531"/>
      <c r="E175" s="531"/>
      <c r="F175" s="518"/>
      <c r="G175" s="280" t="s">
        <v>768</v>
      </c>
      <c r="H175" s="531"/>
      <c r="I175" s="531"/>
      <c r="J175" s="533"/>
    </row>
    <row r="176" spans="2:10" ht="13.5" customHeight="1">
      <c r="B176" s="547"/>
      <c r="C176" s="424"/>
      <c r="D176" s="531"/>
      <c r="E176" s="531"/>
      <c r="F176" s="518"/>
      <c r="G176" s="280" t="s">
        <v>769</v>
      </c>
      <c r="H176" s="531"/>
      <c r="I176" s="531"/>
      <c r="J176" s="533"/>
    </row>
    <row r="177" spans="2:10" ht="13.5" customHeight="1">
      <c r="B177" s="547"/>
      <c r="C177" s="424"/>
      <c r="D177" s="531"/>
      <c r="E177" s="531"/>
      <c r="F177" s="521"/>
      <c r="G177" s="280" t="s">
        <v>770</v>
      </c>
      <c r="H177" s="526"/>
      <c r="I177" s="526"/>
      <c r="J177" s="534"/>
    </row>
    <row r="178" spans="2:10" ht="13.5" customHeight="1">
      <c r="B178" s="547"/>
      <c r="C178" s="424"/>
      <c r="D178" s="531"/>
      <c r="E178" s="531"/>
      <c r="F178" s="525" t="s">
        <v>780</v>
      </c>
      <c r="G178" s="280" t="s">
        <v>772</v>
      </c>
      <c r="H178" s="525" t="s">
        <v>132</v>
      </c>
      <c r="I178" s="525" t="s">
        <v>132</v>
      </c>
      <c r="J178" s="532"/>
    </row>
    <row r="179" spans="2:10" ht="13.5" customHeight="1">
      <c r="B179" s="547"/>
      <c r="C179" s="424"/>
      <c r="D179" s="531"/>
      <c r="E179" s="531"/>
      <c r="F179" s="531"/>
      <c r="G179" s="280" t="s">
        <v>773</v>
      </c>
      <c r="H179" s="531"/>
      <c r="I179" s="531"/>
      <c r="J179" s="533"/>
    </row>
    <row r="180" spans="2:10" ht="13.5" customHeight="1">
      <c r="B180" s="547"/>
      <c r="C180" s="424"/>
      <c r="D180" s="531"/>
      <c r="E180" s="531"/>
      <c r="F180" s="531"/>
      <c r="G180" s="280" t="s">
        <v>245</v>
      </c>
      <c r="H180" s="531"/>
      <c r="I180" s="531"/>
      <c r="J180" s="533"/>
    </row>
    <row r="181" spans="2:10" ht="13.5" customHeight="1">
      <c r="B181" s="547"/>
      <c r="C181" s="425"/>
      <c r="D181" s="526"/>
      <c r="E181" s="526"/>
      <c r="F181" s="526"/>
      <c r="G181" s="280" t="s">
        <v>242</v>
      </c>
      <c r="H181" s="526"/>
      <c r="I181" s="526"/>
      <c r="J181" s="534"/>
    </row>
    <row r="182" spans="2:10" ht="13.5" customHeight="1">
      <c r="B182" s="547"/>
      <c r="C182" s="423">
        <f>C166+1</f>
        <v>30242</v>
      </c>
      <c r="D182" s="525" t="str">
        <f>DEC2HEX(C182)</f>
        <v>7622</v>
      </c>
      <c r="E182" s="525" t="s">
        <v>134</v>
      </c>
      <c r="F182" s="525" t="s">
        <v>781</v>
      </c>
      <c r="G182" s="280" t="s">
        <v>759</v>
      </c>
      <c r="H182" s="525" t="s">
        <v>132</v>
      </c>
      <c r="I182" s="525" t="s">
        <v>132</v>
      </c>
      <c r="J182" s="532"/>
    </row>
    <row r="183" spans="2:10" ht="13.5" customHeight="1">
      <c r="B183" s="547"/>
      <c r="C183" s="424"/>
      <c r="D183" s="531"/>
      <c r="E183" s="531"/>
      <c r="F183" s="531"/>
      <c r="G183" s="280" t="s">
        <v>760</v>
      </c>
      <c r="H183" s="531"/>
      <c r="I183" s="531"/>
      <c r="J183" s="533"/>
    </row>
    <row r="184" spans="2:10" ht="13.5" customHeight="1">
      <c r="B184" s="547"/>
      <c r="C184" s="424"/>
      <c r="D184" s="531"/>
      <c r="E184" s="531"/>
      <c r="F184" s="531"/>
      <c r="G184" s="280" t="s">
        <v>263</v>
      </c>
      <c r="H184" s="531"/>
      <c r="I184" s="531"/>
      <c r="J184" s="533"/>
    </row>
    <row r="185" spans="2:10" ht="13.5" customHeight="1">
      <c r="B185" s="547"/>
      <c r="C185" s="424"/>
      <c r="D185" s="531"/>
      <c r="E185" s="531"/>
      <c r="F185" s="526"/>
      <c r="G185" s="280" t="s">
        <v>261</v>
      </c>
      <c r="H185" s="526"/>
      <c r="I185" s="526"/>
      <c r="J185" s="534"/>
    </row>
    <row r="186" spans="2:10" ht="13.5" customHeight="1">
      <c r="B186" s="547"/>
      <c r="C186" s="424"/>
      <c r="D186" s="531"/>
      <c r="E186" s="531"/>
      <c r="F186" s="525" t="s">
        <v>782</v>
      </c>
      <c r="G186" s="280" t="s">
        <v>762</v>
      </c>
      <c r="H186" s="525" t="s">
        <v>132</v>
      </c>
      <c r="I186" s="525" t="s">
        <v>132</v>
      </c>
      <c r="J186" s="532"/>
    </row>
    <row r="187" spans="2:10" ht="13.5" customHeight="1">
      <c r="B187" s="547"/>
      <c r="C187" s="424"/>
      <c r="D187" s="531"/>
      <c r="E187" s="531"/>
      <c r="F187" s="531"/>
      <c r="G187" s="280" t="s">
        <v>763</v>
      </c>
      <c r="H187" s="531"/>
      <c r="I187" s="531"/>
      <c r="J187" s="533"/>
    </row>
    <row r="188" spans="2:10" ht="13.5" customHeight="1">
      <c r="B188" s="547"/>
      <c r="C188" s="424"/>
      <c r="D188" s="531"/>
      <c r="E188" s="531"/>
      <c r="F188" s="531"/>
      <c r="G188" s="280" t="s">
        <v>764</v>
      </c>
      <c r="H188" s="531"/>
      <c r="I188" s="531"/>
      <c r="J188" s="533"/>
    </row>
    <row r="189" spans="2:10" ht="13.5" customHeight="1">
      <c r="B189" s="547"/>
      <c r="C189" s="424"/>
      <c r="D189" s="531"/>
      <c r="E189" s="531"/>
      <c r="F189" s="526"/>
      <c r="G189" s="280" t="s">
        <v>765</v>
      </c>
      <c r="H189" s="526"/>
      <c r="I189" s="526"/>
      <c r="J189" s="534"/>
    </row>
    <row r="190" spans="2:10" ht="13.5" customHeight="1">
      <c r="B190" s="547"/>
      <c r="C190" s="424"/>
      <c r="D190" s="531"/>
      <c r="E190" s="531"/>
      <c r="F190" s="525" t="s">
        <v>783</v>
      </c>
      <c r="G190" s="280" t="s">
        <v>767</v>
      </c>
      <c r="H190" s="525" t="s">
        <v>132</v>
      </c>
      <c r="I190" s="525" t="s">
        <v>132</v>
      </c>
      <c r="J190" s="532"/>
    </row>
    <row r="191" spans="2:10" ht="13.5" customHeight="1">
      <c r="B191" s="547"/>
      <c r="C191" s="424"/>
      <c r="D191" s="531"/>
      <c r="E191" s="531"/>
      <c r="F191" s="531"/>
      <c r="G191" s="280" t="s">
        <v>768</v>
      </c>
      <c r="H191" s="531"/>
      <c r="I191" s="531"/>
      <c r="J191" s="533"/>
    </row>
    <row r="192" spans="2:10" ht="13.5" customHeight="1">
      <c r="B192" s="547"/>
      <c r="C192" s="424"/>
      <c r="D192" s="531"/>
      <c r="E192" s="531"/>
      <c r="F192" s="531"/>
      <c r="G192" s="280" t="s">
        <v>769</v>
      </c>
      <c r="H192" s="531"/>
      <c r="I192" s="531"/>
      <c r="J192" s="533"/>
    </row>
    <row r="193" spans="2:10" ht="13.5" customHeight="1">
      <c r="B193" s="547"/>
      <c r="C193" s="424"/>
      <c r="D193" s="531"/>
      <c r="E193" s="531"/>
      <c r="F193" s="526"/>
      <c r="G193" s="280" t="s">
        <v>770</v>
      </c>
      <c r="H193" s="526"/>
      <c r="I193" s="526"/>
      <c r="J193" s="534"/>
    </row>
    <row r="194" spans="2:10" ht="13.5" customHeight="1">
      <c r="B194" s="547"/>
      <c r="C194" s="424"/>
      <c r="D194" s="531"/>
      <c r="E194" s="531"/>
      <c r="F194" s="525" t="s">
        <v>784</v>
      </c>
      <c r="G194" s="280" t="s">
        <v>772</v>
      </c>
      <c r="H194" s="525" t="s">
        <v>132</v>
      </c>
      <c r="I194" s="525" t="s">
        <v>132</v>
      </c>
      <c r="J194" s="532"/>
    </row>
    <row r="195" spans="2:10" ht="13.5" customHeight="1">
      <c r="B195" s="547"/>
      <c r="C195" s="424"/>
      <c r="D195" s="531"/>
      <c r="E195" s="531"/>
      <c r="F195" s="531"/>
      <c r="G195" s="280" t="s">
        <v>773</v>
      </c>
      <c r="H195" s="531"/>
      <c r="I195" s="531"/>
      <c r="J195" s="533"/>
    </row>
    <row r="196" spans="2:10" ht="13.5" customHeight="1">
      <c r="B196" s="547"/>
      <c r="C196" s="424"/>
      <c r="D196" s="531"/>
      <c r="E196" s="531"/>
      <c r="F196" s="531"/>
      <c r="G196" s="280" t="s">
        <v>245</v>
      </c>
      <c r="H196" s="531"/>
      <c r="I196" s="531"/>
      <c r="J196" s="533"/>
    </row>
    <row r="197" spans="2:10" ht="13.5" customHeight="1">
      <c r="B197" s="547"/>
      <c r="C197" s="425"/>
      <c r="D197" s="526"/>
      <c r="E197" s="526"/>
      <c r="F197" s="526"/>
      <c r="G197" s="280" t="s">
        <v>242</v>
      </c>
      <c r="H197" s="526"/>
      <c r="I197" s="526"/>
      <c r="J197" s="534"/>
    </row>
    <row r="198" spans="2:10" ht="13.5" customHeight="1">
      <c r="B198" s="547"/>
      <c r="C198" s="423">
        <f>C182+1</f>
        <v>30243</v>
      </c>
      <c r="D198" s="525" t="str">
        <f>DEC2HEX(C198)</f>
        <v>7623</v>
      </c>
      <c r="E198" s="525" t="s">
        <v>134</v>
      </c>
      <c r="F198" s="517" t="s">
        <v>785</v>
      </c>
      <c r="G198" s="280" t="s">
        <v>759</v>
      </c>
      <c r="H198" s="525" t="s">
        <v>132</v>
      </c>
      <c r="I198" s="525" t="s">
        <v>132</v>
      </c>
      <c r="J198" s="532"/>
    </row>
    <row r="199" spans="2:10" ht="13.5" customHeight="1">
      <c r="B199" s="547"/>
      <c r="C199" s="424"/>
      <c r="D199" s="531"/>
      <c r="E199" s="531"/>
      <c r="F199" s="518"/>
      <c r="G199" s="280" t="s">
        <v>760</v>
      </c>
      <c r="H199" s="531"/>
      <c r="I199" s="531"/>
      <c r="J199" s="533"/>
    </row>
    <row r="200" spans="2:10" ht="13.5" customHeight="1">
      <c r="B200" s="547"/>
      <c r="C200" s="424"/>
      <c r="D200" s="531"/>
      <c r="E200" s="531"/>
      <c r="F200" s="518"/>
      <c r="G200" s="280" t="s">
        <v>263</v>
      </c>
      <c r="H200" s="531"/>
      <c r="I200" s="531"/>
      <c r="J200" s="533"/>
    </row>
    <row r="201" spans="2:10" ht="13.5" customHeight="1">
      <c r="B201" s="547"/>
      <c r="C201" s="424"/>
      <c r="D201" s="531"/>
      <c r="E201" s="531"/>
      <c r="F201" s="521"/>
      <c r="G201" s="280" t="s">
        <v>261</v>
      </c>
      <c r="H201" s="526"/>
      <c r="I201" s="526"/>
      <c r="J201" s="534"/>
    </row>
    <row r="202" spans="2:10" ht="13.5" customHeight="1">
      <c r="B202" s="547"/>
      <c r="C202" s="424"/>
      <c r="D202" s="531"/>
      <c r="E202" s="531"/>
      <c r="F202" s="525" t="s">
        <v>786</v>
      </c>
      <c r="G202" s="280" t="s">
        <v>762</v>
      </c>
      <c r="H202" s="525" t="s">
        <v>132</v>
      </c>
      <c r="I202" s="525" t="s">
        <v>132</v>
      </c>
      <c r="J202" s="532"/>
    </row>
    <row r="203" spans="2:10" ht="13.5" customHeight="1">
      <c r="B203" s="547"/>
      <c r="C203" s="424"/>
      <c r="D203" s="531"/>
      <c r="E203" s="531"/>
      <c r="F203" s="531"/>
      <c r="G203" s="280" t="s">
        <v>763</v>
      </c>
      <c r="H203" s="531"/>
      <c r="I203" s="531"/>
      <c r="J203" s="533"/>
    </row>
    <row r="204" spans="2:10" ht="13.5" customHeight="1">
      <c r="B204" s="547"/>
      <c r="C204" s="424"/>
      <c r="D204" s="531"/>
      <c r="E204" s="531"/>
      <c r="F204" s="531"/>
      <c r="G204" s="280" t="s">
        <v>764</v>
      </c>
      <c r="H204" s="531"/>
      <c r="I204" s="531"/>
      <c r="J204" s="533"/>
    </row>
    <row r="205" spans="2:10" ht="13.5" customHeight="1">
      <c r="B205" s="547"/>
      <c r="C205" s="424"/>
      <c r="D205" s="531"/>
      <c r="E205" s="531"/>
      <c r="F205" s="526"/>
      <c r="G205" s="280" t="s">
        <v>765</v>
      </c>
      <c r="H205" s="526"/>
      <c r="I205" s="526"/>
      <c r="J205" s="534"/>
    </row>
    <row r="206" spans="2:10" ht="13.5" customHeight="1">
      <c r="B206" s="547"/>
      <c r="C206" s="424"/>
      <c r="D206" s="531"/>
      <c r="E206" s="531"/>
      <c r="F206" s="525" t="s">
        <v>787</v>
      </c>
      <c r="G206" s="280" t="s">
        <v>767</v>
      </c>
      <c r="H206" s="525" t="s">
        <v>132</v>
      </c>
      <c r="I206" s="525" t="s">
        <v>132</v>
      </c>
      <c r="J206" s="532"/>
    </row>
    <row r="207" spans="2:10" ht="13.5" customHeight="1">
      <c r="B207" s="547"/>
      <c r="C207" s="424"/>
      <c r="D207" s="531"/>
      <c r="E207" s="531"/>
      <c r="F207" s="531"/>
      <c r="G207" s="280" t="s">
        <v>768</v>
      </c>
      <c r="H207" s="531"/>
      <c r="I207" s="531"/>
      <c r="J207" s="533"/>
    </row>
    <row r="208" spans="2:10" ht="13.5" customHeight="1">
      <c r="B208" s="547"/>
      <c r="C208" s="424"/>
      <c r="D208" s="531"/>
      <c r="E208" s="531"/>
      <c r="F208" s="531"/>
      <c r="G208" s="280" t="s">
        <v>769</v>
      </c>
      <c r="H208" s="531"/>
      <c r="I208" s="531"/>
      <c r="J208" s="533"/>
    </row>
    <row r="209" spans="2:10" ht="13.5" customHeight="1">
      <c r="B209" s="547"/>
      <c r="C209" s="424"/>
      <c r="D209" s="531"/>
      <c r="E209" s="531"/>
      <c r="F209" s="526"/>
      <c r="G209" s="280" t="s">
        <v>770</v>
      </c>
      <c r="H209" s="526"/>
      <c r="I209" s="526"/>
      <c r="J209" s="534"/>
    </row>
    <row r="210" spans="2:10" ht="13.5" customHeight="1">
      <c r="B210" s="547"/>
      <c r="C210" s="424"/>
      <c r="D210" s="531"/>
      <c r="E210" s="531"/>
      <c r="F210" s="525" t="s">
        <v>788</v>
      </c>
      <c r="G210" s="280" t="s">
        <v>772</v>
      </c>
      <c r="H210" s="525" t="s">
        <v>132</v>
      </c>
      <c r="I210" s="525" t="s">
        <v>132</v>
      </c>
      <c r="J210" s="532"/>
    </row>
    <row r="211" spans="2:10" ht="13.5" customHeight="1">
      <c r="B211" s="547"/>
      <c r="C211" s="424"/>
      <c r="D211" s="531"/>
      <c r="E211" s="531"/>
      <c r="F211" s="531"/>
      <c r="G211" s="280" t="s">
        <v>773</v>
      </c>
      <c r="H211" s="531"/>
      <c r="I211" s="531"/>
      <c r="J211" s="533"/>
    </row>
    <row r="212" spans="2:10" ht="13.5" customHeight="1">
      <c r="B212" s="547"/>
      <c r="C212" s="424"/>
      <c r="D212" s="531"/>
      <c r="E212" s="531"/>
      <c r="F212" s="531"/>
      <c r="G212" s="280" t="s">
        <v>245</v>
      </c>
      <c r="H212" s="531"/>
      <c r="I212" s="531"/>
      <c r="J212" s="533"/>
    </row>
    <row r="213" spans="2:10" ht="13.5" customHeight="1">
      <c r="B213" s="547"/>
      <c r="C213" s="425"/>
      <c r="D213" s="526"/>
      <c r="E213" s="526"/>
      <c r="F213" s="526"/>
      <c r="G213" s="280" t="s">
        <v>242</v>
      </c>
      <c r="H213" s="526"/>
      <c r="I213" s="526"/>
      <c r="J213" s="534"/>
    </row>
    <row r="214" spans="2:10" ht="13.5" customHeight="1">
      <c r="B214" s="547"/>
      <c r="C214" s="80">
        <f>C198+1</f>
        <v>30244</v>
      </c>
      <c r="D214" s="262" t="str">
        <f>DEC2HEX(C214)</f>
        <v>7624</v>
      </c>
      <c r="E214" s="262" t="s">
        <v>134</v>
      </c>
      <c r="F214" s="281" t="s">
        <v>789</v>
      </c>
      <c r="G214" s="280"/>
      <c r="H214" s="262"/>
      <c r="I214" s="262"/>
      <c r="J214" s="282"/>
    </row>
    <row r="215" spans="2:10" ht="13.5" customHeight="1">
      <c r="B215" s="547"/>
      <c r="C215" s="80">
        <f>C214+1</f>
        <v>30245</v>
      </c>
      <c r="D215" s="262" t="str">
        <f>DEC2HEX(C215)</f>
        <v>7625</v>
      </c>
      <c r="E215" s="262" t="s">
        <v>134</v>
      </c>
      <c r="F215" s="281" t="s">
        <v>789</v>
      </c>
      <c r="G215" s="280"/>
      <c r="H215" s="262"/>
      <c r="I215" s="262"/>
      <c r="J215" s="282"/>
    </row>
    <row r="216" spans="2:10" ht="13.5" customHeight="1">
      <c r="B216" s="547"/>
      <c r="C216" s="423">
        <f>C215+1</f>
        <v>30246</v>
      </c>
      <c r="D216" s="525" t="str">
        <f>DEC2HEX(C216)</f>
        <v>7626</v>
      </c>
      <c r="E216" s="525" t="s">
        <v>134</v>
      </c>
      <c r="F216" s="525" t="s">
        <v>62</v>
      </c>
      <c r="G216" s="280" t="s">
        <v>759</v>
      </c>
      <c r="H216" s="525" t="s">
        <v>132</v>
      </c>
      <c r="I216" s="525" t="s">
        <v>132</v>
      </c>
      <c r="J216" s="532"/>
    </row>
    <row r="217" spans="2:10" ht="13.5" customHeight="1">
      <c r="B217" s="547"/>
      <c r="C217" s="424"/>
      <c r="D217" s="531"/>
      <c r="E217" s="531"/>
      <c r="F217" s="531"/>
      <c r="G217" s="280" t="s">
        <v>760</v>
      </c>
      <c r="H217" s="531"/>
      <c r="I217" s="531"/>
      <c r="J217" s="533"/>
    </row>
    <row r="218" spans="2:10" ht="13.5" customHeight="1">
      <c r="B218" s="547"/>
      <c r="C218" s="424"/>
      <c r="D218" s="531"/>
      <c r="E218" s="531"/>
      <c r="F218" s="531"/>
      <c r="G218" s="280" t="s">
        <v>263</v>
      </c>
      <c r="H218" s="531"/>
      <c r="I218" s="531"/>
      <c r="J218" s="533"/>
    </row>
    <row r="219" spans="2:10" ht="13.5" customHeight="1">
      <c r="B219" s="547"/>
      <c r="C219" s="424"/>
      <c r="D219" s="531"/>
      <c r="E219" s="531"/>
      <c r="F219" s="526"/>
      <c r="G219" s="280" t="s">
        <v>261</v>
      </c>
      <c r="H219" s="526"/>
      <c r="I219" s="526"/>
      <c r="J219" s="534"/>
    </row>
    <row r="220" spans="2:10" ht="13.5" customHeight="1">
      <c r="B220" s="547"/>
      <c r="C220" s="424"/>
      <c r="D220" s="531"/>
      <c r="E220" s="531"/>
      <c r="F220" s="525" t="s">
        <v>790</v>
      </c>
      <c r="G220" s="280" t="s">
        <v>762</v>
      </c>
      <c r="H220" s="525" t="s">
        <v>132</v>
      </c>
      <c r="I220" s="525" t="s">
        <v>132</v>
      </c>
      <c r="J220" s="532"/>
    </row>
    <row r="221" spans="2:10" ht="13.5" customHeight="1">
      <c r="B221" s="547"/>
      <c r="C221" s="424"/>
      <c r="D221" s="531"/>
      <c r="E221" s="531"/>
      <c r="F221" s="531"/>
      <c r="G221" s="280" t="s">
        <v>763</v>
      </c>
      <c r="H221" s="531"/>
      <c r="I221" s="531"/>
      <c r="J221" s="533"/>
    </row>
    <row r="222" spans="2:10" ht="13.5" customHeight="1">
      <c r="B222" s="547"/>
      <c r="C222" s="424"/>
      <c r="D222" s="531"/>
      <c r="E222" s="531"/>
      <c r="F222" s="531"/>
      <c r="G222" s="280" t="s">
        <v>764</v>
      </c>
      <c r="H222" s="531"/>
      <c r="I222" s="531"/>
      <c r="J222" s="533"/>
    </row>
    <row r="223" spans="2:10" ht="13.5" customHeight="1">
      <c r="B223" s="547"/>
      <c r="C223" s="424"/>
      <c r="D223" s="531"/>
      <c r="E223" s="531"/>
      <c r="F223" s="526"/>
      <c r="G223" s="280" t="s">
        <v>765</v>
      </c>
      <c r="H223" s="526"/>
      <c r="I223" s="526"/>
      <c r="J223" s="534"/>
    </row>
    <row r="224" spans="2:10" ht="13.5" customHeight="1">
      <c r="B224" s="547"/>
      <c r="C224" s="424"/>
      <c r="D224" s="531"/>
      <c r="E224" s="531"/>
      <c r="F224" s="525" t="s">
        <v>791</v>
      </c>
      <c r="G224" s="280" t="s">
        <v>767</v>
      </c>
      <c r="H224" s="525" t="s">
        <v>132</v>
      </c>
      <c r="I224" s="525" t="s">
        <v>132</v>
      </c>
      <c r="J224" s="532"/>
    </row>
    <row r="225" spans="2:10" ht="13.5" customHeight="1">
      <c r="B225" s="547"/>
      <c r="C225" s="424"/>
      <c r="D225" s="531"/>
      <c r="E225" s="531"/>
      <c r="F225" s="531"/>
      <c r="G225" s="280" t="s">
        <v>768</v>
      </c>
      <c r="H225" s="531"/>
      <c r="I225" s="531"/>
      <c r="J225" s="533"/>
    </row>
    <row r="226" spans="2:10" ht="13.5" customHeight="1">
      <c r="B226" s="547"/>
      <c r="C226" s="424"/>
      <c r="D226" s="531"/>
      <c r="E226" s="531"/>
      <c r="F226" s="531"/>
      <c r="G226" s="280" t="s">
        <v>769</v>
      </c>
      <c r="H226" s="531"/>
      <c r="I226" s="531"/>
      <c r="J226" s="533"/>
    </row>
    <row r="227" spans="2:10" ht="13.5" customHeight="1">
      <c r="B227" s="547"/>
      <c r="C227" s="424"/>
      <c r="D227" s="531"/>
      <c r="E227" s="531"/>
      <c r="F227" s="526"/>
      <c r="G227" s="280" t="s">
        <v>770</v>
      </c>
      <c r="H227" s="526"/>
      <c r="I227" s="526"/>
      <c r="J227" s="534"/>
    </row>
    <row r="228" spans="2:10" ht="13.5" customHeight="1">
      <c r="B228" s="547"/>
      <c r="C228" s="424"/>
      <c r="D228" s="531"/>
      <c r="E228" s="531"/>
      <c r="F228" s="531" t="s">
        <v>792</v>
      </c>
      <c r="G228" s="280" t="s">
        <v>772</v>
      </c>
      <c r="H228" s="525" t="s">
        <v>132</v>
      </c>
      <c r="I228" s="525" t="s">
        <v>132</v>
      </c>
      <c r="J228" s="532"/>
    </row>
    <row r="229" spans="2:10" ht="13.5" customHeight="1">
      <c r="B229" s="547"/>
      <c r="C229" s="424"/>
      <c r="D229" s="531"/>
      <c r="E229" s="531"/>
      <c r="F229" s="531"/>
      <c r="G229" s="280" t="s">
        <v>773</v>
      </c>
      <c r="H229" s="531"/>
      <c r="I229" s="531"/>
      <c r="J229" s="533"/>
    </row>
    <row r="230" spans="2:10" ht="13.5" customHeight="1">
      <c r="B230" s="547"/>
      <c r="C230" s="424"/>
      <c r="D230" s="531"/>
      <c r="E230" s="531"/>
      <c r="F230" s="531"/>
      <c r="G230" s="280" t="s">
        <v>245</v>
      </c>
      <c r="H230" s="531"/>
      <c r="I230" s="531"/>
      <c r="J230" s="533"/>
    </row>
    <row r="231" spans="2:10" ht="13.5" customHeight="1">
      <c r="B231" s="547"/>
      <c r="C231" s="425"/>
      <c r="D231" s="526"/>
      <c r="E231" s="526"/>
      <c r="F231" s="526"/>
      <c r="G231" s="280" t="s">
        <v>242</v>
      </c>
      <c r="H231" s="526"/>
      <c r="I231" s="526"/>
      <c r="J231" s="534"/>
    </row>
    <row r="232" spans="2:10" ht="13.5" customHeight="1">
      <c r="B232" s="547"/>
      <c r="C232" s="423">
        <f>C215+2</f>
        <v>30247</v>
      </c>
      <c r="D232" s="525" t="str">
        <f>DEC2HEX(C232)</f>
        <v>7627</v>
      </c>
      <c r="E232" s="525" t="s">
        <v>134</v>
      </c>
      <c r="F232" s="530" t="s">
        <v>793</v>
      </c>
      <c r="G232" s="280" t="s">
        <v>759</v>
      </c>
      <c r="H232" s="525" t="s">
        <v>132</v>
      </c>
      <c r="I232" s="525" t="s">
        <v>132</v>
      </c>
      <c r="J232" s="532"/>
    </row>
    <row r="233" spans="2:10" ht="13.5" customHeight="1">
      <c r="B233" s="547"/>
      <c r="C233" s="424"/>
      <c r="D233" s="531"/>
      <c r="E233" s="531"/>
      <c r="F233" s="530"/>
      <c r="G233" s="280" t="s">
        <v>760</v>
      </c>
      <c r="H233" s="531"/>
      <c r="I233" s="531"/>
      <c r="J233" s="533"/>
    </row>
    <row r="234" spans="2:10" ht="13.5" customHeight="1">
      <c r="B234" s="547"/>
      <c r="C234" s="424"/>
      <c r="D234" s="531"/>
      <c r="E234" s="531"/>
      <c r="F234" s="530"/>
      <c r="G234" s="280" t="s">
        <v>263</v>
      </c>
      <c r="H234" s="531"/>
      <c r="I234" s="531"/>
      <c r="J234" s="533"/>
    </row>
    <row r="235" spans="2:10" ht="13.5" customHeight="1">
      <c r="B235" s="547"/>
      <c r="C235" s="424"/>
      <c r="D235" s="531"/>
      <c r="E235" s="531"/>
      <c r="F235" s="530"/>
      <c r="G235" s="280" t="s">
        <v>261</v>
      </c>
      <c r="H235" s="526"/>
      <c r="I235" s="526"/>
      <c r="J235" s="534"/>
    </row>
    <row r="236" spans="2:10" ht="13.5" customHeight="1">
      <c r="B236" s="547"/>
      <c r="C236" s="424"/>
      <c r="D236" s="531"/>
      <c r="E236" s="531"/>
      <c r="F236" s="530" t="s">
        <v>794</v>
      </c>
      <c r="G236" s="280" t="s">
        <v>762</v>
      </c>
      <c r="H236" s="525" t="s">
        <v>132</v>
      </c>
      <c r="I236" s="525" t="s">
        <v>132</v>
      </c>
      <c r="J236" s="532"/>
    </row>
    <row r="237" spans="2:10" ht="13.5" customHeight="1">
      <c r="B237" s="547"/>
      <c r="C237" s="424"/>
      <c r="D237" s="531"/>
      <c r="E237" s="531"/>
      <c r="F237" s="530"/>
      <c r="G237" s="280" t="s">
        <v>763</v>
      </c>
      <c r="H237" s="531"/>
      <c r="I237" s="531"/>
      <c r="J237" s="533"/>
    </row>
    <row r="238" spans="2:10" ht="13.5" customHeight="1">
      <c r="B238" s="547"/>
      <c r="C238" s="424"/>
      <c r="D238" s="531"/>
      <c r="E238" s="531"/>
      <c r="F238" s="530"/>
      <c r="G238" s="280" t="s">
        <v>764</v>
      </c>
      <c r="H238" s="531"/>
      <c r="I238" s="531"/>
      <c r="J238" s="533"/>
    </row>
    <row r="239" spans="2:10" ht="13.5" customHeight="1">
      <c r="B239" s="547"/>
      <c r="C239" s="424"/>
      <c r="D239" s="531"/>
      <c r="E239" s="531"/>
      <c r="F239" s="530"/>
      <c r="G239" s="280" t="s">
        <v>765</v>
      </c>
      <c r="H239" s="526"/>
      <c r="I239" s="526"/>
      <c r="J239" s="534"/>
    </row>
    <row r="240" spans="2:10" ht="13.5" customHeight="1">
      <c r="B240" s="547"/>
      <c r="C240" s="424"/>
      <c r="D240" s="531"/>
      <c r="E240" s="531"/>
      <c r="F240" s="530" t="s">
        <v>62</v>
      </c>
      <c r="G240" s="280" t="s">
        <v>767</v>
      </c>
      <c r="H240" s="525" t="s">
        <v>132</v>
      </c>
      <c r="I240" s="525" t="s">
        <v>132</v>
      </c>
      <c r="J240" s="532"/>
    </row>
    <row r="241" spans="2:10" ht="13.5" customHeight="1">
      <c r="B241" s="547"/>
      <c r="C241" s="424"/>
      <c r="D241" s="531"/>
      <c r="E241" s="531"/>
      <c r="F241" s="530"/>
      <c r="G241" s="280" t="s">
        <v>768</v>
      </c>
      <c r="H241" s="531"/>
      <c r="I241" s="531"/>
      <c r="J241" s="533"/>
    </row>
    <row r="242" spans="2:10" ht="13.5" customHeight="1">
      <c r="B242" s="547"/>
      <c r="C242" s="424"/>
      <c r="D242" s="531"/>
      <c r="E242" s="531"/>
      <c r="F242" s="530"/>
      <c r="G242" s="280" t="s">
        <v>769</v>
      </c>
      <c r="H242" s="531"/>
      <c r="I242" s="531"/>
      <c r="J242" s="533"/>
    </row>
    <row r="243" spans="2:10" ht="13.5" customHeight="1">
      <c r="B243" s="547"/>
      <c r="C243" s="424"/>
      <c r="D243" s="531"/>
      <c r="E243" s="531"/>
      <c r="F243" s="530"/>
      <c r="G243" s="280" t="s">
        <v>770</v>
      </c>
      <c r="H243" s="526"/>
      <c r="I243" s="526"/>
      <c r="J243" s="534"/>
    </row>
    <row r="244" spans="2:10" ht="13.5" customHeight="1">
      <c r="B244" s="547"/>
      <c r="C244" s="424"/>
      <c r="D244" s="531"/>
      <c r="E244" s="531"/>
      <c r="F244" s="530" t="s">
        <v>795</v>
      </c>
      <c r="G244" s="280" t="s">
        <v>772</v>
      </c>
      <c r="H244" s="525" t="s">
        <v>132</v>
      </c>
      <c r="I244" s="525" t="s">
        <v>132</v>
      </c>
      <c r="J244" s="532"/>
    </row>
    <row r="245" spans="2:10" ht="13.5" customHeight="1">
      <c r="B245" s="547"/>
      <c r="C245" s="424"/>
      <c r="D245" s="531"/>
      <c r="E245" s="531"/>
      <c r="F245" s="530"/>
      <c r="G245" s="280" t="s">
        <v>773</v>
      </c>
      <c r="H245" s="531"/>
      <c r="I245" s="531"/>
      <c r="J245" s="533"/>
    </row>
    <row r="246" spans="2:10" ht="13.5" customHeight="1">
      <c r="B246" s="547"/>
      <c r="C246" s="424"/>
      <c r="D246" s="531"/>
      <c r="E246" s="531"/>
      <c r="F246" s="530"/>
      <c r="G246" s="280" t="s">
        <v>245</v>
      </c>
      <c r="H246" s="531"/>
      <c r="I246" s="531"/>
      <c r="J246" s="533"/>
    </row>
    <row r="247" spans="2:10" ht="13.5" customHeight="1">
      <c r="B247" s="547"/>
      <c r="C247" s="424"/>
      <c r="D247" s="531"/>
      <c r="E247" s="531"/>
      <c r="F247" s="530"/>
      <c r="G247" s="280" t="s">
        <v>242</v>
      </c>
      <c r="H247" s="526"/>
      <c r="I247" s="526"/>
      <c r="J247" s="534"/>
    </row>
    <row r="248" spans="2:10" ht="13.5" customHeight="1">
      <c r="B248" s="547"/>
      <c r="C248" s="399">
        <f>C215+3</f>
        <v>30248</v>
      </c>
      <c r="D248" s="517" t="str">
        <f>DEC2HEX(C248)</f>
        <v>7628</v>
      </c>
      <c r="E248" s="517" t="s">
        <v>134</v>
      </c>
      <c r="F248" s="520" t="s">
        <v>796</v>
      </c>
      <c r="G248" s="270" t="s">
        <v>759</v>
      </c>
      <c r="H248" s="517" t="s">
        <v>132</v>
      </c>
      <c r="I248" s="517" t="s">
        <v>132</v>
      </c>
      <c r="J248" s="522"/>
    </row>
    <row r="249" spans="2:10" ht="13.5" customHeight="1">
      <c r="B249" s="547"/>
      <c r="C249" s="415"/>
      <c r="D249" s="518"/>
      <c r="E249" s="518"/>
      <c r="F249" s="520"/>
      <c r="G249" s="270" t="s">
        <v>760</v>
      </c>
      <c r="H249" s="518"/>
      <c r="I249" s="518"/>
      <c r="J249" s="523"/>
    </row>
    <row r="250" spans="2:10" ht="13.5" customHeight="1">
      <c r="B250" s="547"/>
      <c r="C250" s="415"/>
      <c r="D250" s="518"/>
      <c r="E250" s="518"/>
      <c r="F250" s="520"/>
      <c r="G250" s="270" t="s">
        <v>263</v>
      </c>
      <c r="H250" s="518"/>
      <c r="I250" s="518"/>
      <c r="J250" s="523"/>
    </row>
    <row r="251" spans="2:10" ht="13.5" customHeight="1">
      <c r="B251" s="547"/>
      <c r="C251" s="415"/>
      <c r="D251" s="518"/>
      <c r="E251" s="518"/>
      <c r="F251" s="520"/>
      <c r="G251" s="270" t="s">
        <v>261</v>
      </c>
      <c r="H251" s="521"/>
      <c r="I251" s="521"/>
      <c r="J251" s="524"/>
    </row>
    <row r="252" spans="2:10" ht="13.5" customHeight="1">
      <c r="B252" s="547"/>
      <c r="C252" s="415"/>
      <c r="D252" s="518"/>
      <c r="E252" s="518"/>
      <c r="F252" s="520" t="s">
        <v>797</v>
      </c>
      <c r="G252" s="270" t="s">
        <v>762</v>
      </c>
      <c r="H252" s="517" t="s">
        <v>132</v>
      </c>
      <c r="I252" s="517" t="s">
        <v>132</v>
      </c>
      <c r="J252" s="522"/>
    </row>
    <row r="253" spans="2:10" ht="13.5" customHeight="1">
      <c r="B253" s="547"/>
      <c r="C253" s="415"/>
      <c r="D253" s="518"/>
      <c r="E253" s="518"/>
      <c r="F253" s="520"/>
      <c r="G253" s="270" t="s">
        <v>763</v>
      </c>
      <c r="H253" s="518"/>
      <c r="I253" s="518"/>
      <c r="J253" s="523"/>
    </row>
    <row r="254" spans="2:10" ht="13.5" customHeight="1">
      <c r="B254" s="547"/>
      <c r="C254" s="415"/>
      <c r="D254" s="518"/>
      <c r="E254" s="518"/>
      <c r="F254" s="520"/>
      <c r="G254" s="270" t="s">
        <v>764</v>
      </c>
      <c r="H254" s="518"/>
      <c r="I254" s="518"/>
      <c r="J254" s="523"/>
    </row>
    <row r="255" spans="2:10" ht="13.5" customHeight="1">
      <c r="B255" s="547"/>
      <c r="C255" s="415"/>
      <c r="D255" s="518"/>
      <c r="E255" s="518"/>
      <c r="F255" s="520"/>
      <c r="G255" s="270" t="s">
        <v>765</v>
      </c>
      <c r="H255" s="521"/>
      <c r="I255" s="521"/>
      <c r="J255" s="524"/>
    </row>
    <row r="256" spans="2:10" ht="13.5" customHeight="1">
      <c r="B256" s="547"/>
      <c r="C256" s="415"/>
      <c r="D256" s="518"/>
      <c r="E256" s="518"/>
      <c r="F256" s="520" t="s">
        <v>798</v>
      </c>
      <c r="G256" s="270" t="s">
        <v>767</v>
      </c>
      <c r="H256" s="517" t="s">
        <v>132</v>
      </c>
      <c r="I256" s="517" t="s">
        <v>132</v>
      </c>
      <c r="J256" s="522"/>
    </row>
    <row r="257" spans="2:10" ht="13.5" customHeight="1">
      <c r="B257" s="547"/>
      <c r="C257" s="415"/>
      <c r="D257" s="518"/>
      <c r="E257" s="518"/>
      <c r="F257" s="520"/>
      <c r="G257" s="270" t="s">
        <v>768</v>
      </c>
      <c r="H257" s="518"/>
      <c r="I257" s="518"/>
      <c r="J257" s="523"/>
    </row>
    <row r="258" spans="2:10" ht="13.5" customHeight="1">
      <c r="B258" s="547"/>
      <c r="C258" s="415"/>
      <c r="D258" s="518"/>
      <c r="E258" s="518"/>
      <c r="F258" s="520"/>
      <c r="G258" s="270" t="s">
        <v>769</v>
      </c>
      <c r="H258" s="518"/>
      <c r="I258" s="518"/>
      <c r="J258" s="523"/>
    </row>
    <row r="259" spans="2:10" ht="13.5" customHeight="1">
      <c r="B259" s="547"/>
      <c r="C259" s="415"/>
      <c r="D259" s="518"/>
      <c r="E259" s="518"/>
      <c r="F259" s="520"/>
      <c r="G259" s="270" t="s">
        <v>770</v>
      </c>
      <c r="H259" s="521"/>
      <c r="I259" s="521"/>
      <c r="J259" s="524"/>
    </row>
    <row r="260" spans="2:10" ht="13.5" customHeight="1">
      <c r="B260" s="547"/>
      <c r="C260" s="415"/>
      <c r="D260" s="518"/>
      <c r="E260" s="518"/>
      <c r="F260" s="520" t="s">
        <v>799</v>
      </c>
      <c r="G260" s="270" t="s">
        <v>772</v>
      </c>
      <c r="H260" s="517" t="s">
        <v>132</v>
      </c>
      <c r="I260" s="517" t="s">
        <v>132</v>
      </c>
      <c r="J260" s="522"/>
    </row>
    <row r="261" spans="2:10" ht="13.5" customHeight="1">
      <c r="B261" s="547"/>
      <c r="C261" s="415"/>
      <c r="D261" s="518"/>
      <c r="E261" s="518"/>
      <c r="F261" s="520"/>
      <c r="G261" s="270" t="s">
        <v>773</v>
      </c>
      <c r="H261" s="518"/>
      <c r="I261" s="518"/>
      <c r="J261" s="523"/>
    </row>
    <row r="262" spans="2:10" ht="13.5" customHeight="1">
      <c r="B262" s="547"/>
      <c r="C262" s="415"/>
      <c r="D262" s="518"/>
      <c r="E262" s="518"/>
      <c r="F262" s="520"/>
      <c r="G262" s="270" t="s">
        <v>245</v>
      </c>
      <c r="H262" s="518"/>
      <c r="I262" s="518"/>
      <c r="J262" s="523"/>
    </row>
    <row r="263" spans="2:10" ht="13.5" customHeight="1">
      <c r="B263" s="547"/>
      <c r="C263" s="400"/>
      <c r="D263" s="521"/>
      <c r="E263" s="521"/>
      <c r="F263" s="520"/>
      <c r="G263" s="270" t="s">
        <v>242</v>
      </c>
      <c r="H263" s="521"/>
      <c r="I263" s="521"/>
      <c r="J263" s="524"/>
    </row>
    <row r="264" spans="2:10" ht="13.5" customHeight="1">
      <c r="B264" s="547"/>
      <c r="C264" s="399">
        <f>C248+1</f>
        <v>30249</v>
      </c>
      <c r="D264" s="517" t="str">
        <f>DEC2HEX(C264)</f>
        <v>7629</v>
      </c>
      <c r="E264" s="517" t="s">
        <v>134</v>
      </c>
      <c r="F264" s="520" t="s">
        <v>62</v>
      </c>
      <c r="G264" s="270" t="s">
        <v>759</v>
      </c>
      <c r="H264" s="517" t="s">
        <v>132</v>
      </c>
      <c r="I264" s="517" t="s">
        <v>132</v>
      </c>
      <c r="J264" s="522"/>
    </row>
    <row r="265" spans="2:10" ht="13.5" customHeight="1">
      <c r="B265" s="547"/>
      <c r="C265" s="415"/>
      <c r="D265" s="518"/>
      <c r="E265" s="518"/>
      <c r="F265" s="520"/>
      <c r="G265" s="270" t="s">
        <v>760</v>
      </c>
      <c r="H265" s="518"/>
      <c r="I265" s="518"/>
      <c r="J265" s="523"/>
    </row>
    <row r="266" spans="2:10" ht="13.5" customHeight="1">
      <c r="B266" s="547"/>
      <c r="C266" s="415"/>
      <c r="D266" s="518"/>
      <c r="E266" s="518"/>
      <c r="F266" s="520"/>
      <c r="G266" s="270" t="s">
        <v>263</v>
      </c>
      <c r="H266" s="518"/>
      <c r="I266" s="518"/>
      <c r="J266" s="523"/>
    </row>
    <row r="267" spans="2:10" ht="13.5" customHeight="1">
      <c r="B267" s="547"/>
      <c r="C267" s="415"/>
      <c r="D267" s="518"/>
      <c r="E267" s="518"/>
      <c r="F267" s="520"/>
      <c r="G267" s="270" t="s">
        <v>261</v>
      </c>
      <c r="H267" s="521"/>
      <c r="I267" s="521"/>
      <c r="J267" s="524"/>
    </row>
    <row r="268" spans="2:10" ht="13.5" customHeight="1">
      <c r="B268" s="547"/>
      <c r="C268" s="415"/>
      <c r="D268" s="518"/>
      <c r="E268" s="518"/>
      <c r="F268" s="520" t="s">
        <v>800</v>
      </c>
      <c r="G268" s="270" t="s">
        <v>762</v>
      </c>
      <c r="H268" s="517" t="s">
        <v>132</v>
      </c>
      <c r="I268" s="517" t="s">
        <v>132</v>
      </c>
      <c r="J268" s="522"/>
    </row>
    <row r="269" spans="2:10" ht="13.5" customHeight="1">
      <c r="B269" s="547"/>
      <c r="C269" s="415"/>
      <c r="D269" s="518"/>
      <c r="E269" s="518"/>
      <c r="F269" s="520"/>
      <c r="G269" s="270" t="s">
        <v>763</v>
      </c>
      <c r="H269" s="518"/>
      <c r="I269" s="518"/>
      <c r="J269" s="523"/>
    </row>
    <row r="270" spans="2:10" ht="13.5" customHeight="1">
      <c r="B270" s="547"/>
      <c r="C270" s="415"/>
      <c r="D270" s="518"/>
      <c r="E270" s="518"/>
      <c r="F270" s="520"/>
      <c r="G270" s="270" t="s">
        <v>764</v>
      </c>
      <c r="H270" s="518"/>
      <c r="I270" s="518"/>
      <c r="J270" s="523"/>
    </row>
    <row r="271" spans="2:10" ht="13.5" customHeight="1">
      <c r="B271" s="547"/>
      <c r="C271" s="415"/>
      <c r="D271" s="518"/>
      <c r="E271" s="518"/>
      <c r="F271" s="520"/>
      <c r="G271" s="270" t="s">
        <v>765</v>
      </c>
      <c r="H271" s="521"/>
      <c r="I271" s="521"/>
      <c r="J271" s="524"/>
    </row>
    <row r="272" spans="2:10" ht="13.5" customHeight="1">
      <c r="B272" s="547"/>
      <c r="C272" s="415"/>
      <c r="D272" s="518"/>
      <c r="E272" s="518"/>
      <c r="F272" s="520" t="s">
        <v>801</v>
      </c>
      <c r="G272" s="270" t="s">
        <v>767</v>
      </c>
      <c r="H272" s="517" t="s">
        <v>132</v>
      </c>
      <c r="I272" s="517" t="s">
        <v>132</v>
      </c>
      <c r="J272" s="522"/>
    </row>
    <row r="273" spans="2:10" ht="13.5" customHeight="1">
      <c r="B273" s="547"/>
      <c r="C273" s="415"/>
      <c r="D273" s="518"/>
      <c r="E273" s="518"/>
      <c r="F273" s="520"/>
      <c r="G273" s="270" t="s">
        <v>768</v>
      </c>
      <c r="H273" s="518"/>
      <c r="I273" s="518"/>
      <c r="J273" s="523"/>
    </row>
    <row r="274" spans="2:10" ht="13.5" customHeight="1">
      <c r="B274" s="547"/>
      <c r="C274" s="415"/>
      <c r="D274" s="518"/>
      <c r="E274" s="518"/>
      <c r="F274" s="520"/>
      <c r="G274" s="270" t="s">
        <v>769</v>
      </c>
      <c r="H274" s="518"/>
      <c r="I274" s="518"/>
      <c r="J274" s="523"/>
    </row>
    <row r="275" spans="2:10" ht="13.5" customHeight="1">
      <c r="B275" s="547"/>
      <c r="C275" s="415"/>
      <c r="D275" s="518"/>
      <c r="E275" s="518"/>
      <c r="F275" s="520"/>
      <c r="G275" s="270" t="s">
        <v>770</v>
      </c>
      <c r="H275" s="521"/>
      <c r="I275" s="521"/>
      <c r="J275" s="524"/>
    </row>
    <row r="276" spans="2:10" ht="13.5" customHeight="1">
      <c r="B276" s="547"/>
      <c r="C276" s="415"/>
      <c r="D276" s="518"/>
      <c r="E276" s="518"/>
      <c r="F276" s="520" t="s">
        <v>802</v>
      </c>
      <c r="G276" s="270" t="s">
        <v>772</v>
      </c>
      <c r="H276" s="517" t="s">
        <v>132</v>
      </c>
      <c r="I276" s="517" t="s">
        <v>132</v>
      </c>
      <c r="J276" s="522"/>
    </row>
    <row r="277" spans="2:10" ht="13.5" customHeight="1">
      <c r="B277" s="547"/>
      <c r="C277" s="415"/>
      <c r="D277" s="518"/>
      <c r="E277" s="518"/>
      <c r="F277" s="520"/>
      <c r="G277" s="270" t="s">
        <v>773</v>
      </c>
      <c r="H277" s="518"/>
      <c r="I277" s="518"/>
      <c r="J277" s="523"/>
    </row>
    <row r="278" spans="2:10" ht="13.5" customHeight="1">
      <c r="B278" s="547"/>
      <c r="C278" s="415"/>
      <c r="D278" s="518"/>
      <c r="E278" s="518"/>
      <c r="F278" s="520"/>
      <c r="G278" s="270" t="s">
        <v>245</v>
      </c>
      <c r="H278" s="518"/>
      <c r="I278" s="518"/>
      <c r="J278" s="523"/>
    </row>
    <row r="279" spans="2:10" ht="13.5" customHeight="1">
      <c r="B279" s="547"/>
      <c r="C279" s="400"/>
      <c r="D279" s="521"/>
      <c r="E279" s="521"/>
      <c r="F279" s="520"/>
      <c r="G279" s="270" t="s">
        <v>242</v>
      </c>
      <c r="H279" s="521"/>
      <c r="I279" s="521"/>
      <c r="J279" s="524"/>
    </row>
    <row r="280" spans="2:10" ht="13.5" customHeight="1">
      <c r="B280" s="547"/>
      <c r="C280" s="399">
        <f>C248+2</f>
        <v>30250</v>
      </c>
      <c r="D280" s="517" t="str">
        <f>DEC2HEX(C280)</f>
        <v>762A</v>
      </c>
      <c r="E280" s="517" t="s">
        <v>134</v>
      </c>
      <c r="F280" s="429" t="s">
        <v>803</v>
      </c>
      <c r="G280" s="270" t="s">
        <v>759</v>
      </c>
      <c r="H280" s="517" t="s">
        <v>132</v>
      </c>
      <c r="I280" s="517" t="s">
        <v>132</v>
      </c>
      <c r="J280" s="522"/>
    </row>
    <row r="281" spans="2:10" ht="13.5" customHeight="1">
      <c r="B281" s="547"/>
      <c r="C281" s="415"/>
      <c r="D281" s="518"/>
      <c r="E281" s="518"/>
      <c r="F281" s="429"/>
      <c r="G281" s="270" t="s">
        <v>760</v>
      </c>
      <c r="H281" s="518"/>
      <c r="I281" s="518"/>
      <c r="J281" s="523"/>
    </row>
    <row r="282" spans="2:10" ht="13.5" customHeight="1">
      <c r="B282" s="547"/>
      <c r="C282" s="415"/>
      <c r="D282" s="518"/>
      <c r="E282" s="518"/>
      <c r="F282" s="429"/>
      <c r="G282" s="270" t="s">
        <v>263</v>
      </c>
      <c r="H282" s="518"/>
      <c r="I282" s="518"/>
      <c r="J282" s="523"/>
    </row>
    <row r="283" spans="2:10" ht="13.5" customHeight="1">
      <c r="B283" s="547"/>
      <c r="C283" s="415"/>
      <c r="D283" s="518"/>
      <c r="E283" s="518"/>
      <c r="F283" s="429"/>
      <c r="G283" s="270" t="s">
        <v>261</v>
      </c>
      <c r="H283" s="521"/>
      <c r="I283" s="521"/>
      <c r="J283" s="524"/>
    </row>
    <row r="284" spans="2:10" ht="13.5" customHeight="1">
      <c r="B284" s="547"/>
      <c r="C284" s="415"/>
      <c r="D284" s="518"/>
      <c r="E284" s="518"/>
      <c r="F284" s="429" t="s">
        <v>62</v>
      </c>
      <c r="G284" s="270" t="s">
        <v>762</v>
      </c>
      <c r="H284" s="517" t="s">
        <v>132</v>
      </c>
      <c r="I284" s="517" t="s">
        <v>132</v>
      </c>
      <c r="J284" s="522"/>
    </row>
    <row r="285" spans="2:10" ht="13.5" customHeight="1">
      <c r="B285" s="547"/>
      <c r="C285" s="415"/>
      <c r="D285" s="518"/>
      <c r="E285" s="518"/>
      <c r="F285" s="429"/>
      <c r="G285" s="270" t="s">
        <v>763</v>
      </c>
      <c r="H285" s="518"/>
      <c r="I285" s="518"/>
      <c r="J285" s="523"/>
    </row>
    <row r="286" spans="2:10" ht="13.5" customHeight="1">
      <c r="B286" s="547"/>
      <c r="C286" s="415"/>
      <c r="D286" s="518"/>
      <c r="E286" s="518"/>
      <c r="F286" s="429"/>
      <c r="G286" s="270" t="s">
        <v>764</v>
      </c>
      <c r="H286" s="518"/>
      <c r="I286" s="518"/>
      <c r="J286" s="523"/>
    </row>
    <row r="287" spans="2:10" ht="13.5" customHeight="1">
      <c r="B287" s="547"/>
      <c r="C287" s="415"/>
      <c r="D287" s="518"/>
      <c r="E287" s="518"/>
      <c r="F287" s="429"/>
      <c r="G287" s="270" t="s">
        <v>765</v>
      </c>
      <c r="H287" s="521"/>
      <c r="I287" s="521"/>
      <c r="J287" s="524"/>
    </row>
    <row r="288" spans="2:10" ht="13.5" customHeight="1">
      <c r="B288" s="547"/>
      <c r="C288" s="415"/>
      <c r="D288" s="518"/>
      <c r="E288" s="518"/>
      <c r="F288" s="429" t="s">
        <v>804</v>
      </c>
      <c r="G288" s="270" t="s">
        <v>767</v>
      </c>
      <c r="H288" s="517" t="s">
        <v>132</v>
      </c>
      <c r="I288" s="517" t="s">
        <v>132</v>
      </c>
      <c r="J288" s="522"/>
    </row>
    <row r="289" spans="2:10" ht="13.5" customHeight="1">
      <c r="B289" s="547"/>
      <c r="C289" s="415"/>
      <c r="D289" s="518"/>
      <c r="E289" s="518"/>
      <c r="F289" s="429"/>
      <c r="G289" s="270" t="s">
        <v>768</v>
      </c>
      <c r="H289" s="518"/>
      <c r="I289" s="518"/>
      <c r="J289" s="523"/>
    </row>
    <row r="290" spans="2:10" ht="13.5" customHeight="1">
      <c r="B290" s="547"/>
      <c r="C290" s="415"/>
      <c r="D290" s="518"/>
      <c r="E290" s="518"/>
      <c r="F290" s="429"/>
      <c r="G290" s="270" t="s">
        <v>769</v>
      </c>
      <c r="H290" s="518"/>
      <c r="I290" s="518"/>
      <c r="J290" s="523"/>
    </row>
    <row r="291" spans="2:10" ht="13.5" customHeight="1">
      <c r="B291" s="547"/>
      <c r="C291" s="415"/>
      <c r="D291" s="518"/>
      <c r="E291" s="518"/>
      <c r="F291" s="429"/>
      <c r="G291" s="270" t="s">
        <v>770</v>
      </c>
      <c r="H291" s="521"/>
      <c r="I291" s="521"/>
      <c r="J291" s="524"/>
    </row>
    <row r="292" spans="2:10" ht="13.5" customHeight="1">
      <c r="B292" s="547"/>
      <c r="C292" s="415"/>
      <c r="D292" s="518"/>
      <c r="E292" s="518"/>
      <c r="F292" s="429" t="s">
        <v>805</v>
      </c>
      <c r="G292" s="270" t="s">
        <v>772</v>
      </c>
      <c r="H292" s="517" t="s">
        <v>132</v>
      </c>
      <c r="I292" s="517" t="s">
        <v>132</v>
      </c>
      <c r="J292" s="522"/>
    </row>
    <row r="293" spans="2:10" ht="13.5" customHeight="1">
      <c r="B293" s="547"/>
      <c r="C293" s="415"/>
      <c r="D293" s="518"/>
      <c r="E293" s="518"/>
      <c r="F293" s="429"/>
      <c r="G293" s="270" t="s">
        <v>773</v>
      </c>
      <c r="H293" s="518"/>
      <c r="I293" s="518"/>
      <c r="J293" s="523"/>
    </row>
    <row r="294" spans="2:10" ht="13.5" customHeight="1">
      <c r="B294" s="547"/>
      <c r="C294" s="415"/>
      <c r="D294" s="518"/>
      <c r="E294" s="518"/>
      <c r="F294" s="429"/>
      <c r="G294" s="270" t="s">
        <v>245</v>
      </c>
      <c r="H294" s="518"/>
      <c r="I294" s="518"/>
      <c r="J294" s="523"/>
    </row>
    <row r="295" spans="2:10" ht="13.5" customHeight="1">
      <c r="B295" s="547"/>
      <c r="C295" s="415"/>
      <c r="D295" s="518"/>
      <c r="E295" s="518"/>
      <c r="F295" s="429"/>
      <c r="G295" s="270" t="s">
        <v>242</v>
      </c>
      <c r="H295" s="521"/>
      <c r="I295" s="521"/>
      <c r="J295" s="524"/>
    </row>
    <row r="296" spans="2:10" ht="13.5" customHeight="1">
      <c r="B296" s="547"/>
      <c r="C296" s="399">
        <f>C280+1</f>
        <v>30251</v>
      </c>
      <c r="D296" s="517" t="str">
        <f>DEC2HEX(C296)</f>
        <v>762B</v>
      </c>
      <c r="E296" s="517" t="s">
        <v>134</v>
      </c>
      <c r="F296" s="520" t="s">
        <v>806</v>
      </c>
      <c r="G296" s="270" t="s">
        <v>759</v>
      </c>
      <c r="H296" s="517" t="s">
        <v>132</v>
      </c>
      <c r="I296" s="517" t="s">
        <v>132</v>
      </c>
      <c r="J296" s="522"/>
    </row>
    <row r="297" spans="2:10" ht="13.5" customHeight="1">
      <c r="B297" s="547"/>
      <c r="C297" s="415"/>
      <c r="D297" s="518"/>
      <c r="E297" s="518"/>
      <c r="F297" s="520"/>
      <c r="G297" s="270" t="s">
        <v>760</v>
      </c>
      <c r="H297" s="518"/>
      <c r="I297" s="518"/>
      <c r="J297" s="523"/>
    </row>
    <row r="298" spans="2:10" ht="13.5" customHeight="1">
      <c r="B298" s="547"/>
      <c r="C298" s="415"/>
      <c r="D298" s="518"/>
      <c r="E298" s="518"/>
      <c r="F298" s="520"/>
      <c r="G298" s="270" t="s">
        <v>263</v>
      </c>
      <c r="H298" s="518"/>
      <c r="I298" s="518"/>
      <c r="J298" s="523"/>
    </row>
    <row r="299" spans="2:10" ht="13.5" customHeight="1">
      <c r="B299" s="547"/>
      <c r="C299" s="415"/>
      <c r="D299" s="518"/>
      <c r="E299" s="518"/>
      <c r="F299" s="520"/>
      <c r="G299" s="270" t="s">
        <v>261</v>
      </c>
      <c r="H299" s="521"/>
      <c r="I299" s="521"/>
      <c r="J299" s="524"/>
    </row>
    <row r="300" spans="2:10" ht="13.5" customHeight="1">
      <c r="B300" s="547"/>
      <c r="C300" s="415"/>
      <c r="D300" s="518"/>
      <c r="E300" s="518"/>
      <c r="F300" s="520" t="s">
        <v>807</v>
      </c>
      <c r="G300" s="270" t="s">
        <v>762</v>
      </c>
      <c r="H300" s="517" t="s">
        <v>132</v>
      </c>
      <c r="I300" s="517" t="s">
        <v>132</v>
      </c>
      <c r="J300" s="522"/>
    </row>
    <row r="301" spans="2:10" ht="13.5" customHeight="1">
      <c r="B301" s="547"/>
      <c r="C301" s="415"/>
      <c r="D301" s="518"/>
      <c r="E301" s="518"/>
      <c r="F301" s="520"/>
      <c r="G301" s="270" t="s">
        <v>763</v>
      </c>
      <c r="H301" s="518"/>
      <c r="I301" s="518"/>
      <c r="J301" s="523"/>
    </row>
    <row r="302" spans="2:10" ht="13.5" customHeight="1">
      <c r="B302" s="547"/>
      <c r="C302" s="415"/>
      <c r="D302" s="518"/>
      <c r="E302" s="518"/>
      <c r="F302" s="520"/>
      <c r="G302" s="270" t="s">
        <v>764</v>
      </c>
      <c r="H302" s="518"/>
      <c r="I302" s="518"/>
      <c r="J302" s="523"/>
    </row>
    <row r="303" spans="2:10" ht="13.5" customHeight="1">
      <c r="B303" s="547"/>
      <c r="C303" s="415"/>
      <c r="D303" s="518"/>
      <c r="E303" s="518"/>
      <c r="F303" s="520"/>
      <c r="G303" s="270" t="s">
        <v>765</v>
      </c>
      <c r="H303" s="521"/>
      <c r="I303" s="521"/>
      <c r="J303" s="524"/>
    </row>
    <row r="304" spans="2:10" ht="13.5" customHeight="1">
      <c r="B304" s="547"/>
      <c r="C304" s="415"/>
      <c r="D304" s="518"/>
      <c r="E304" s="518"/>
      <c r="F304" s="520" t="s">
        <v>808</v>
      </c>
      <c r="G304" s="270" t="s">
        <v>767</v>
      </c>
      <c r="H304" s="517" t="s">
        <v>132</v>
      </c>
      <c r="I304" s="517" t="s">
        <v>132</v>
      </c>
      <c r="J304" s="522"/>
    </row>
    <row r="305" spans="2:10" ht="13.5" customHeight="1">
      <c r="B305" s="547"/>
      <c r="C305" s="415"/>
      <c r="D305" s="518"/>
      <c r="E305" s="518"/>
      <c r="F305" s="520"/>
      <c r="G305" s="270" t="s">
        <v>768</v>
      </c>
      <c r="H305" s="518"/>
      <c r="I305" s="518"/>
      <c r="J305" s="523"/>
    </row>
    <row r="306" spans="2:10" ht="13.5" customHeight="1">
      <c r="B306" s="547"/>
      <c r="C306" s="415"/>
      <c r="D306" s="518"/>
      <c r="E306" s="518"/>
      <c r="F306" s="520"/>
      <c r="G306" s="270" t="s">
        <v>769</v>
      </c>
      <c r="H306" s="518"/>
      <c r="I306" s="518"/>
      <c r="J306" s="523"/>
    </row>
    <row r="307" spans="2:10" ht="13.5" customHeight="1">
      <c r="B307" s="547"/>
      <c r="C307" s="415"/>
      <c r="D307" s="518"/>
      <c r="E307" s="518"/>
      <c r="F307" s="520"/>
      <c r="G307" s="270" t="s">
        <v>770</v>
      </c>
      <c r="H307" s="521"/>
      <c r="I307" s="521"/>
      <c r="J307" s="524"/>
    </row>
    <row r="308" spans="2:10" ht="13.5" customHeight="1">
      <c r="B308" s="547"/>
      <c r="C308" s="415"/>
      <c r="D308" s="518"/>
      <c r="E308" s="518"/>
      <c r="F308" s="520" t="s">
        <v>809</v>
      </c>
      <c r="G308" s="270" t="s">
        <v>772</v>
      </c>
      <c r="H308" s="517" t="s">
        <v>132</v>
      </c>
      <c r="I308" s="517" t="s">
        <v>132</v>
      </c>
      <c r="J308" s="522"/>
    </row>
    <row r="309" spans="2:10" ht="13.5" customHeight="1">
      <c r="B309" s="547"/>
      <c r="C309" s="415"/>
      <c r="D309" s="518"/>
      <c r="E309" s="518"/>
      <c r="F309" s="520"/>
      <c r="G309" s="270" t="s">
        <v>773</v>
      </c>
      <c r="H309" s="518"/>
      <c r="I309" s="518"/>
      <c r="J309" s="523"/>
    </row>
    <row r="310" spans="2:10" ht="13.5" customHeight="1">
      <c r="B310" s="547"/>
      <c r="C310" s="415"/>
      <c r="D310" s="518"/>
      <c r="E310" s="518"/>
      <c r="F310" s="520"/>
      <c r="G310" s="270" t="s">
        <v>245</v>
      </c>
      <c r="H310" s="518"/>
      <c r="I310" s="518"/>
      <c r="J310" s="523"/>
    </row>
    <row r="311" spans="2:10" ht="13.5" customHeight="1">
      <c r="B311" s="547"/>
      <c r="C311" s="400"/>
      <c r="D311" s="521"/>
      <c r="E311" s="521"/>
      <c r="F311" s="520"/>
      <c r="G311" s="270" t="s">
        <v>242</v>
      </c>
      <c r="H311" s="521"/>
      <c r="I311" s="521"/>
      <c r="J311" s="524"/>
    </row>
    <row r="312" spans="2:10" ht="13.5" customHeight="1">
      <c r="B312" s="547"/>
      <c r="C312" s="399">
        <f>C280+2</f>
        <v>30252</v>
      </c>
      <c r="D312" s="517" t="str">
        <f>DEC2HEX(C312)</f>
        <v>762C</v>
      </c>
      <c r="E312" s="517" t="s">
        <v>134</v>
      </c>
      <c r="F312" s="529" t="s">
        <v>132</v>
      </c>
      <c r="G312" s="270" t="s">
        <v>759</v>
      </c>
      <c r="H312" s="517" t="s">
        <v>132</v>
      </c>
      <c r="I312" s="517" t="s">
        <v>132</v>
      </c>
      <c r="J312" s="522"/>
    </row>
    <row r="313" spans="2:10" ht="13.5" customHeight="1">
      <c r="B313" s="547"/>
      <c r="C313" s="415"/>
      <c r="D313" s="518"/>
      <c r="E313" s="518"/>
      <c r="F313" s="520"/>
      <c r="G313" s="270" t="s">
        <v>760</v>
      </c>
      <c r="H313" s="518"/>
      <c r="I313" s="518"/>
      <c r="J313" s="523"/>
    </row>
    <row r="314" spans="2:10" ht="13.5" customHeight="1">
      <c r="B314" s="547"/>
      <c r="C314" s="415"/>
      <c r="D314" s="518"/>
      <c r="E314" s="518"/>
      <c r="F314" s="520"/>
      <c r="G314" s="270" t="s">
        <v>263</v>
      </c>
      <c r="H314" s="518"/>
      <c r="I314" s="518"/>
      <c r="J314" s="523"/>
    </row>
    <row r="315" spans="2:10" ht="13.5" customHeight="1">
      <c r="B315" s="547"/>
      <c r="C315" s="415"/>
      <c r="D315" s="518"/>
      <c r="E315" s="518"/>
      <c r="F315" s="520"/>
      <c r="G315" s="270" t="s">
        <v>261</v>
      </c>
      <c r="H315" s="521"/>
      <c r="I315" s="521"/>
      <c r="J315" s="524"/>
    </row>
    <row r="316" spans="2:10" ht="13.5" customHeight="1">
      <c r="B316" s="547"/>
      <c r="C316" s="415"/>
      <c r="D316" s="518"/>
      <c r="E316" s="518"/>
      <c r="F316" s="529" t="s">
        <v>132</v>
      </c>
      <c r="G316" s="270" t="s">
        <v>762</v>
      </c>
      <c r="H316" s="517" t="s">
        <v>132</v>
      </c>
      <c r="I316" s="517" t="s">
        <v>132</v>
      </c>
      <c r="J316" s="522"/>
    </row>
    <row r="317" spans="2:10" ht="13.5" customHeight="1">
      <c r="B317" s="547"/>
      <c r="C317" s="415"/>
      <c r="D317" s="518"/>
      <c r="E317" s="518"/>
      <c r="F317" s="520"/>
      <c r="G317" s="270" t="s">
        <v>763</v>
      </c>
      <c r="H317" s="518"/>
      <c r="I317" s="518"/>
      <c r="J317" s="523"/>
    </row>
    <row r="318" spans="2:10" ht="13.5" customHeight="1">
      <c r="B318" s="547"/>
      <c r="C318" s="415"/>
      <c r="D318" s="518"/>
      <c r="E318" s="518"/>
      <c r="F318" s="520"/>
      <c r="G318" s="270" t="s">
        <v>764</v>
      </c>
      <c r="H318" s="518"/>
      <c r="I318" s="518"/>
      <c r="J318" s="523"/>
    </row>
    <row r="319" spans="2:10" ht="13.5" customHeight="1">
      <c r="B319" s="547"/>
      <c r="C319" s="415"/>
      <c r="D319" s="518"/>
      <c r="E319" s="518"/>
      <c r="F319" s="520"/>
      <c r="G319" s="270" t="s">
        <v>765</v>
      </c>
      <c r="H319" s="521"/>
      <c r="I319" s="521"/>
      <c r="J319" s="524"/>
    </row>
    <row r="320" spans="2:10" ht="13.5" customHeight="1">
      <c r="B320" s="547"/>
      <c r="C320" s="415"/>
      <c r="D320" s="518"/>
      <c r="E320" s="518"/>
      <c r="F320" s="529" t="s">
        <v>132</v>
      </c>
      <c r="G320" s="270" t="s">
        <v>767</v>
      </c>
      <c r="H320" s="517" t="s">
        <v>132</v>
      </c>
      <c r="I320" s="517" t="s">
        <v>132</v>
      </c>
      <c r="J320" s="522"/>
    </row>
    <row r="321" spans="2:10" ht="13.5" customHeight="1">
      <c r="B321" s="547"/>
      <c r="C321" s="415"/>
      <c r="D321" s="518"/>
      <c r="E321" s="518"/>
      <c r="F321" s="520"/>
      <c r="G321" s="270" t="s">
        <v>768</v>
      </c>
      <c r="H321" s="518"/>
      <c r="I321" s="518"/>
      <c r="J321" s="523"/>
    </row>
    <row r="322" spans="2:10" ht="13.5" customHeight="1">
      <c r="B322" s="547"/>
      <c r="C322" s="415"/>
      <c r="D322" s="518"/>
      <c r="E322" s="518"/>
      <c r="F322" s="520"/>
      <c r="G322" s="270" t="s">
        <v>769</v>
      </c>
      <c r="H322" s="518"/>
      <c r="I322" s="518"/>
      <c r="J322" s="523"/>
    </row>
    <row r="323" spans="2:10" ht="13.5" customHeight="1">
      <c r="B323" s="547"/>
      <c r="C323" s="415"/>
      <c r="D323" s="518"/>
      <c r="E323" s="518"/>
      <c r="F323" s="520"/>
      <c r="G323" s="270" t="s">
        <v>770</v>
      </c>
      <c r="H323" s="521"/>
      <c r="I323" s="521"/>
      <c r="J323" s="524"/>
    </row>
    <row r="324" spans="2:10" ht="13.5" customHeight="1">
      <c r="B324" s="547"/>
      <c r="C324" s="415"/>
      <c r="D324" s="518"/>
      <c r="E324" s="518"/>
      <c r="F324" s="520" t="s">
        <v>810</v>
      </c>
      <c r="G324" s="270" t="s">
        <v>772</v>
      </c>
      <c r="H324" s="517" t="s">
        <v>132</v>
      </c>
      <c r="I324" s="517" t="s">
        <v>132</v>
      </c>
      <c r="J324" s="522"/>
    </row>
    <row r="325" spans="2:10" ht="13.5" customHeight="1">
      <c r="B325" s="547"/>
      <c r="C325" s="415"/>
      <c r="D325" s="518"/>
      <c r="E325" s="518"/>
      <c r="F325" s="520"/>
      <c r="G325" s="270" t="s">
        <v>773</v>
      </c>
      <c r="H325" s="518"/>
      <c r="I325" s="518"/>
      <c r="J325" s="523"/>
    </row>
    <row r="326" spans="2:10" ht="13.5" customHeight="1">
      <c r="B326" s="547"/>
      <c r="C326" s="415"/>
      <c r="D326" s="518"/>
      <c r="E326" s="518"/>
      <c r="F326" s="520"/>
      <c r="G326" s="270" t="s">
        <v>245</v>
      </c>
      <c r="H326" s="518"/>
      <c r="I326" s="518"/>
      <c r="J326" s="523"/>
    </row>
    <row r="327" spans="2:10" ht="13.5" customHeight="1">
      <c r="B327" s="547"/>
      <c r="C327" s="400"/>
      <c r="D327" s="521"/>
      <c r="E327" s="521"/>
      <c r="F327" s="520"/>
      <c r="G327" s="270" t="s">
        <v>242</v>
      </c>
      <c r="H327" s="521"/>
      <c r="I327" s="521"/>
      <c r="J327" s="524"/>
    </row>
    <row r="328" spans="2:10" ht="13.5" customHeight="1">
      <c r="B328" s="547"/>
      <c r="C328" s="113">
        <f>C312+1</f>
        <v>30253</v>
      </c>
      <c r="D328" s="261" t="str">
        <f>DEC2HEX(C328)</f>
        <v>762D</v>
      </c>
      <c r="E328" s="261" t="s">
        <v>134</v>
      </c>
      <c r="F328" s="283" t="s">
        <v>811</v>
      </c>
      <c r="G328" s="272"/>
      <c r="H328" s="272"/>
      <c r="I328" s="272"/>
      <c r="J328" s="277"/>
    </row>
    <row r="329" spans="2:10" ht="13.5" customHeight="1">
      <c r="B329" s="547"/>
      <c r="C329" s="113">
        <f>C328+1</f>
        <v>30254</v>
      </c>
      <c r="D329" s="261" t="str">
        <f>DEC2HEX(C329)</f>
        <v>762E</v>
      </c>
      <c r="E329" s="261" t="s">
        <v>134</v>
      </c>
      <c r="F329" s="113" t="s">
        <v>812</v>
      </c>
      <c r="G329" s="187" t="s">
        <v>813</v>
      </c>
      <c r="H329" s="261" t="s">
        <v>284</v>
      </c>
      <c r="I329" s="261">
        <v>1E-4</v>
      </c>
      <c r="J329" s="278" t="s">
        <v>814</v>
      </c>
    </row>
    <row r="330" spans="2:10" ht="13.5" customHeight="1">
      <c r="B330" s="547"/>
      <c r="C330" s="113">
        <f>C329+1</f>
        <v>30255</v>
      </c>
      <c r="D330" s="261" t="str">
        <f>DEC2HEX(C330)</f>
        <v>762F</v>
      </c>
      <c r="E330" s="261" t="s">
        <v>134</v>
      </c>
      <c r="F330" s="113" t="s">
        <v>815</v>
      </c>
      <c r="G330" s="187" t="s">
        <v>816</v>
      </c>
      <c r="H330" s="261" t="s">
        <v>284</v>
      </c>
      <c r="I330" s="261">
        <v>1E-4</v>
      </c>
      <c r="J330" s="278" t="s">
        <v>814</v>
      </c>
    </row>
    <row r="331" spans="2:10" ht="13.5" customHeight="1">
      <c r="B331" s="547"/>
      <c r="C331" s="113">
        <f>C330+1</f>
        <v>30256</v>
      </c>
      <c r="D331" s="261" t="str">
        <f>DEC2HEX(C331)</f>
        <v>7630</v>
      </c>
      <c r="E331" s="261" t="s">
        <v>134</v>
      </c>
      <c r="F331" s="113" t="s">
        <v>817</v>
      </c>
      <c r="G331" s="187" t="s">
        <v>818</v>
      </c>
      <c r="H331" s="261" t="s">
        <v>284</v>
      </c>
      <c r="I331" s="261">
        <v>1E-4</v>
      </c>
      <c r="J331" s="278" t="s">
        <v>814</v>
      </c>
    </row>
    <row r="332" spans="2:10" ht="13.5" customHeight="1">
      <c r="B332" s="547"/>
      <c r="C332" s="399">
        <f>C331+1</f>
        <v>30257</v>
      </c>
      <c r="D332" s="517" t="str">
        <f t="shared" ref="D332:D366" si="5">DEC2HEX(C332)</f>
        <v>7631</v>
      </c>
      <c r="E332" s="517" t="s">
        <v>134</v>
      </c>
      <c r="F332" s="399" t="s">
        <v>819</v>
      </c>
      <c r="G332" s="187" t="s">
        <v>820</v>
      </c>
      <c r="H332" s="261" t="s">
        <v>132</v>
      </c>
      <c r="I332" s="261" t="s">
        <v>132</v>
      </c>
      <c r="J332" s="527" t="s">
        <v>821</v>
      </c>
    </row>
    <row r="333" spans="2:10" ht="13.5" customHeight="1">
      <c r="B333" s="547"/>
      <c r="C333" s="400"/>
      <c r="D333" s="521"/>
      <c r="E333" s="521"/>
      <c r="F333" s="400"/>
      <c r="G333" s="187" t="s">
        <v>822</v>
      </c>
      <c r="H333" s="261" t="s">
        <v>132</v>
      </c>
      <c r="I333" s="261" t="s">
        <v>132</v>
      </c>
      <c r="J333" s="528"/>
    </row>
    <row r="334" spans="2:10" ht="13.5" customHeight="1">
      <c r="B334" s="547"/>
      <c r="C334" s="399">
        <f>C332+1</f>
        <v>30258</v>
      </c>
      <c r="D334" s="517" t="str">
        <f t="shared" si="5"/>
        <v>7632</v>
      </c>
      <c r="E334" s="517" t="s">
        <v>134</v>
      </c>
      <c r="F334" s="399" t="s">
        <v>823</v>
      </c>
      <c r="G334" s="187" t="s">
        <v>820</v>
      </c>
      <c r="H334" s="261" t="s">
        <v>132</v>
      </c>
      <c r="I334" s="261" t="s">
        <v>132</v>
      </c>
      <c r="J334" s="527" t="s">
        <v>821</v>
      </c>
    </row>
    <row r="335" spans="2:10" ht="13.5" customHeight="1">
      <c r="B335" s="547"/>
      <c r="C335" s="400"/>
      <c r="D335" s="521"/>
      <c r="E335" s="521"/>
      <c r="F335" s="400"/>
      <c r="G335" s="187" t="s">
        <v>822</v>
      </c>
      <c r="H335" s="261" t="s">
        <v>132</v>
      </c>
      <c r="I335" s="261" t="s">
        <v>132</v>
      </c>
      <c r="J335" s="528"/>
    </row>
    <row r="336" spans="2:10" ht="13.5" customHeight="1">
      <c r="B336" s="547"/>
      <c r="C336" s="80">
        <f>C334+1</f>
        <v>30259</v>
      </c>
      <c r="D336" s="262" t="str">
        <f t="shared" si="5"/>
        <v>7633</v>
      </c>
      <c r="E336" s="284" t="s">
        <v>824</v>
      </c>
      <c r="F336" s="80" t="s">
        <v>825</v>
      </c>
      <c r="G336" s="285" t="s">
        <v>826</v>
      </c>
      <c r="H336" s="261" t="s">
        <v>827</v>
      </c>
      <c r="I336" s="261">
        <v>0.1</v>
      </c>
      <c r="J336" s="286" t="s">
        <v>828</v>
      </c>
    </row>
    <row r="337" spans="2:10" ht="13.5" customHeight="1">
      <c r="B337" s="547"/>
      <c r="C337" s="80">
        <f>C336+1</f>
        <v>30260</v>
      </c>
      <c r="D337" s="262" t="str">
        <f t="shared" si="5"/>
        <v>7634</v>
      </c>
      <c r="E337" s="284" t="s">
        <v>824</v>
      </c>
      <c r="F337" s="80" t="s">
        <v>829</v>
      </c>
      <c r="G337" s="285" t="s">
        <v>830</v>
      </c>
      <c r="H337" s="261" t="s">
        <v>827</v>
      </c>
      <c r="I337" s="261">
        <v>0.1</v>
      </c>
      <c r="J337" s="286" t="s">
        <v>828</v>
      </c>
    </row>
    <row r="338" spans="2:10" ht="13.5" customHeight="1">
      <c r="B338" s="547"/>
      <c r="C338" s="80">
        <f>C337+1</f>
        <v>30261</v>
      </c>
      <c r="D338" s="262" t="str">
        <f t="shared" si="5"/>
        <v>7635</v>
      </c>
      <c r="E338" s="284" t="s">
        <v>824</v>
      </c>
      <c r="F338" s="80" t="s">
        <v>831</v>
      </c>
      <c r="G338" s="285" t="s">
        <v>832</v>
      </c>
      <c r="H338" s="261" t="s">
        <v>827</v>
      </c>
      <c r="I338" s="261">
        <v>0.1</v>
      </c>
      <c r="J338" s="286" t="s">
        <v>828</v>
      </c>
    </row>
    <row r="339" spans="2:10" ht="13.5" customHeight="1">
      <c r="B339" s="547"/>
      <c r="C339" s="423">
        <f>C338+1</f>
        <v>30262</v>
      </c>
      <c r="D339" s="525" t="str">
        <f t="shared" si="5"/>
        <v>7636</v>
      </c>
      <c r="E339" s="525" t="s">
        <v>134</v>
      </c>
      <c r="F339" s="423" t="s">
        <v>833</v>
      </c>
      <c r="G339" s="285" t="s">
        <v>820</v>
      </c>
      <c r="H339" s="261" t="s">
        <v>132</v>
      </c>
      <c r="I339" s="261" t="s">
        <v>132</v>
      </c>
      <c r="J339" s="527" t="s">
        <v>834</v>
      </c>
    </row>
    <row r="340" spans="2:10" ht="13.5" customHeight="1">
      <c r="B340" s="547"/>
      <c r="C340" s="425"/>
      <c r="D340" s="526"/>
      <c r="E340" s="526"/>
      <c r="F340" s="425"/>
      <c r="G340" s="285" t="s">
        <v>835</v>
      </c>
      <c r="H340" s="261" t="s">
        <v>132</v>
      </c>
      <c r="I340" s="261" t="s">
        <v>132</v>
      </c>
      <c r="J340" s="528"/>
    </row>
    <row r="341" spans="2:10" ht="13.5" customHeight="1">
      <c r="B341" s="547"/>
      <c r="C341" s="423">
        <f>C339+1</f>
        <v>30263</v>
      </c>
      <c r="D341" s="525" t="str">
        <f t="shared" si="5"/>
        <v>7637</v>
      </c>
      <c r="E341" s="525" t="s">
        <v>134</v>
      </c>
      <c r="F341" s="423" t="s">
        <v>836</v>
      </c>
      <c r="G341" s="285" t="s">
        <v>820</v>
      </c>
      <c r="H341" s="261" t="s">
        <v>132</v>
      </c>
      <c r="I341" s="261" t="s">
        <v>132</v>
      </c>
      <c r="J341" s="527" t="s">
        <v>834</v>
      </c>
    </row>
    <row r="342" spans="2:10" ht="13.5" customHeight="1">
      <c r="B342" s="547"/>
      <c r="C342" s="425"/>
      <c r="D342" s="526"/>
      <c r="E342" s="526"/>
      <c r="F342" s="425"/>
      <c r="G342" s="285" t="s">
        <v>835</v>
      </c>
      <c r="H342" s="261" t="s">
        <v>132</v>
      </c>
      <c r="I342" s="261" t="s">
        <v>132</v>
      </c>
      <c r="J342" s="528"/>
    </row>
    <row r="343" spans="2:10" ht="13.5" customHeight="1">
      <c r="B343" s="547"/>
      <c r="C343" s="80">
        <f>C341+1</f>
        <v>30264</v>
      </c>
      <c r="D343" s="262" t="str">
        <f t="shared" si="5"/>
        <v>7638</v>
      </c>
      <c r="E343" s="262" t="s">
        <v>134</v>
      </c>
      <c r="F343" s="80" t="s">
        <v>837</v>
      </c>
      <c r="G343" s="285" t="s">
        <v>838</v>
      </c>
      <c r="H343" s="261" t="s">
        <v>827</v>
      </c>
      <c r="I343" s="261">
        <v>0.1</v>
      </c>
      <c r="J343" s="286" t="s">
        <v>828</v>
      </c>
    </row>
    <row r="344" spans="2:10" ht="13.5" customHeight="1">
      <c r="B344" s="547"/>
      <c r="C344" s="80">
        <f t="shared" ref="C344:C378" si="6">C343+1</f>
        <v>30265</v>
      </c>
      <c r="D344" s="262" t="str">
        <f t="shared" si="5"/>
        <v>7639</v>
      </c>
      <c r="E344" s="262" t="s">
        <v>134</v>
      </c>
      <c r="F344" s="113" t="s">
        <v>839</v>
      </c>
      <c r="G344" s="187" t="s">
        <v>840</v>
      </c>
      <c r="H344" s="261" t="s">
        <v>827</v>
      </c>
      <c r="I344" s="261">
        <v>0.1</v>
      </c>
      <c r="J344" s="286" t="s">
        <v>828</v>
      </c>
    </row>
    <row r="345" spans="2:10" ht="13.5" customHeight="1">
      <c r="B345" s="547"/>
      <c r="C345" s="113">
        <f>C344+1</f>
        <v>30266</v>
      </c>
      <c r="D345" s="261" t="str">
        <f t="shared" si="5"/>
        <v>763A</v>
      </c>
      <c r="E345" s="261" t="s">
        <v>134</v>
      </c>
      <c r="F345" s="287" t="s">
        <v>210</v>
      </c>
      <c r="G345" s="287"/>
      <c r="H345" s="288"/>
      <c r="I345" s="288"/>
      <c r="J345" s="287"/>
    </row>
    <row r="346" spans="2:10" ht="13.5" customHeight="1">
      <c r="B346" s="547"/>
      <c r="C346" s="113">
        <f t="shared" si="6"/>
        <v>30267</v>
      </c>
      <c r="D346" s="261" t="str">
        <f t="shared" si="5"/>
        <v>763B</v>
      </c>
      <c r="E346" s="261" t="s">
        <v>134</v>
      </c>
      <c r="F346" s="287" t="s">
        <v>210</v>
      </c>
      <c r="G346" s="287"/>
      <c r="H346" s="288"/>
      <c r="I346" s="288"/>
      <c r="J346" s="287"/>
    </row>
    <row r="347" spans="2:10" ht="13.5" customHeight="1">
      <c r="B347" s="547"/>
      <c r="C347" s="113">
        <f t="shared" si="6"/>
        <v>30268</v>
      </c>
      <c r="D347" s="261" t="str">
        <f t="shared" si="5"/>
        <v>763C</v>
      </c>
      <c r="E347" s="261" t="s">
        <v>134</v>
      </c>
      <c r="F347" s="287" t="s">
        <v>210</v>
      </c>
      <c r="G347" s="287"/>
      <c r="H347" s="288"/>
      <c r="I347" s="288"/>
      <c r="J347" s="287"/>
    </row>
    <row r="348" spans="2:10" ht="13.5" customHeight="1">
      <c r="B348" s="547"/>
      <c r="C348" s="80">
        <f>C344+4</f>
        <v>30269</v>
      </c>
      <c r="D348" s="262" t="str">
        <f t="shared" si="5"/>
        <v>763D</v>
      </c>
      <c r="E348" s="261" t="s">
        <v>134</v>
      </c>
      <c r="F348" s="287" t="s">
        <v>210</v>
      </c>
      <c r="G348" s="287"/>
      <c r="H348" s="288"/>
      <c r="I348" s="288"/>
      <c r="J348" s="287"/>
    </row>
    <row r="349" spans="2:10" ht="13.5" customHeight="1">
      <c r="B349" s="547"/>
      <c r="C349" s="80">
        <f>C348+1</f>
        <v>30270</v>
      </c>
      <c r="D349" s="262" t="str">
        <f t="shared" si="5"/>
        <v>763E</v>
      </c>
      <c r="E349" s="261" t="s">
        <v>134</v>
      </c>
      <c r="F349" s="289" t="s">
        <v>841</v>
      </c>
      <c r="G349" s="187" t="s">
        <v>841</v>
      </c>
      <c r="H349" s="261"/>
      <c r="I349" s="261"/>
      <c r="J349" s="286"/>
    </row>
    <row r="350" spans="2:10" ht="51">
      <c r="B350" s="547"/>
      <c r="C350" s="113">
        <f>C349+1</f>
        <v>30271</v>
      </c>
      <c r="D350" s="261" t="str">
        <f t="shared" si="5"/>
        <v>763F</v>
      </c>
      <c r="E350" s="261" t="s">
        <v>134</v>
      </c>
      <c r="F350" s="113" t="s">
        <v>842</v>
      </c>
      <c r="G350" s="187" t="s">
        <v>843</v>
      </c>
      <c r="H350" s="261"/>
      <c r="I350" s="261"/>
      <c r="J350" s="286"/>
    </row>
    <row r="351" spans="2:10" ht="13.5" customHeight="1">
      <c r="B351" s="547"/>
      <c r="C351" s="80">
        <f>C350+1</f>
        <v>30272</v>
      </c>
      <c r="D351" s="262" t="str">
        <f t="shared" si="5"/>
        <v>7640</v>
      </c>
      <c r="E351" s="261" t="s">
        <v>134</v>
      </c>
      <c r="F351" s="80" t="s">
        <v>62</v>
      </c>
      <c r="G351" s="285"/>
      <c r="H351" s="261"/>
      <c r="I351" s="261"/>
      <c r="J351" s="286"/>
    </row>
    <row r="352" spans="2:10" ht="13.5" customHeight="1">
      <c r="B352" s="547"/>
      <c r="C352" s="84">
        <f>C350+2</f>
        <v>30273</v>
      </c>
      <c r="D352" s="279" t="str">
        <f t="shared" si="5"/>
        <v>7641</v>
      </c>
      <c r="E352" s="279" t="s">
        <v>134</v>
      </c>
      <c r="F352" s="113" t="s">
        <v>844</v>
      </c>
      <c r="G352" s="187" t="s">
        <v>845</v>
      </c>
      <c r="H352" s="290" t="s">
        <v>846</v>
      </c>
      <c r="I352" s="290">
        <v>1</v>
      </c>
      <c r="J352" s="291"/>
    </row>
    <row r="353" spans="2:10" ht="13.5" customHeight="1">
      <c r="B353" s="547"/>
      <c r="C353" s="84">
        <f>C352+1</f>
        <v>30274</v>
      </c>
      <c r="D353" s="279" t="str">
        <f t="shared" si="5"/>
        <v>7642</v>
      </c>
      <c r="E353" s="279" t="s">
        <v>134</v>
      </c>
      <c r="F353" s="80" t="s">
        <v>62</v>
      </c>
      <c r="G353" s="285"/>
      <c r="H353" s="292"/>
      <c r="I353" s="292"/>
      <c r="J353" s="291"/>
    </row>
    <row r="354" spans="2:10" ht="13.5" customHeight="1">
      <c r="B354" s="547"/>
      <c r="C354" s="80">
        <f>C344+10</f>
        <v>30275</v>
      </c>
      <c r="D354" s="262" t="str">
        <f t="shared" si="5"/>
        <v>7643</v>
      </c>
      <c r="E354" s="262" t="s">
        <v>134</v>
      </c>
      <c r="F354" s="80" t="s">
        <v>55</v>
      </c>
      <c r="G354" s="292"/>
      <c r="H354" s="292"/>
      <c r="I354" s="292"/>
      <c r="J354" s="293"/>
    </row>
    <row r="355" spans="2:10" ht="13.5" customHeight="1">
      <c r="B355" s="547"/>
      <c r="C355" s="80">
        <f t="shared" si="6"/>
        <v>30276</v>
      </c>
      <c r="D355" s="262" t="str">
        <f t="shared" si="5"/>
        <v>7644</v>
      </c>
      <c r="E355" s="262" t="s">
        <v>134</v>
      </c>
      <c r="F355" s="80" t="s">
        <v>55</v>
      </c>
      <c r="G355" s="292"/>
      <c r="H355" s="292"/>
      <c r="I355" s="292"/>
      <c r="J355" s="293"/>
    </row>
    <row r="356" spans="2:10" ht="13.5" customHeight="1">
      <c r="B356" s="547"/>
      <c r="C356" s="80">
        <f t="shared" si="6"/>
        <v>30277</v>
      </c>
      <c r="D356" s="262" t="str">
        <f t="shared" si="5"/>
        <v>7645</v>
      </c>
      <c r="E356" s="262" t="s">
        <v>134</v>
      </c>
      <c r="F356" s="80" t="s">
        <v>55</v>
      </c>
      <c r="G356" s="292"/>
      <c r="H356" s="292"/>
      <c r="I356" s="292"/>
      <c r="J356" s="293"/>
    </row>
    <row r="357" spans="2:10" ht="13.5" customHeight="1">
      <c r="B357" s="547"/>
      <c r="C357" s="80">
        <f t="shared" si="6"/>
        <v>30278</v>
      </c>
      <c r="D357" s="262" t="str">
        <f t="shared" si="5"/>
        <v>7646</v>
      </c>
      <c r="E357" s="262" t="s">
        <v>134</v>
      </c>
      <c r="F357" s="80" t="s">
        <v>55</v>
      </c>
      <c r="G357" s="292"/>
      <c r="H357" s="292"/>
      <c r="I357" s="292"/>
      <c r="J357" s="293"/>
    </row>
    <row r="358" spans="2:10" ht="13.5" customHeight="1">
      <c r="B358" s="547"/>
      <c r="C358" s="80">
        <f t="shared" si="6"/>
        <v>30279</v>
      </c>
      <c r="D358" s="262" t="str">
        <f t="shared" si="5"/>
        <v>7647</v>
      </c>
      <c r="E358" s="262" t="s">
        <v>134</v>
      </c>
      <c r="F358" s="80" t="s">
        <v>55</v>
      </c>
      <c r="G358" s="292"/>
      <c r="H358" s="292"/>
      <c r="I358" s="292"/>
      <c r="J358" s="293"/>
    </row>
    <row r="359" spans="2:10" ht="13.5" customHeight="1">
      <c r="B359" s="547"/>
      <c r="C359" s="80">
        <f t="shared" si="6"/>
        <v>30280</v>
      </c>
      <c r="D359" s="262" t="str">
        <f t="shared" si="5"/>
        <v>7648</v>
      </c>
      <c r="E359" s="262" t="s">
        <v>134</v>
      </c>
      <c r="F359" s="80" t="s">
        <v>55</v>
      </c>
      <c r="G359" s="292"/>
      <c r="H359" s="292"/>
      <c r="I359" s="292"/>
      <c r="J359" s="293"/>
    </row>
    <row r="360" spans="2:10" ht="13.5" customHeight="1">
      <c r="B360" s="547"/>
      <c r="C360" s="80">
        <f t="shared" si="6"/>
        <v>30281</v>
      </c>
      <c r="D360" s="262" t="str">
        <f t="shared" si="5"/>
        <v>7649</v>
      </c>
      <c r="E360" s="262" t="s">
        <v>134</v>
      </c>
      <c r="F360" s="80" t="s">
        <v>55</v>
      </c>
      <c r="G360" s="292"/>
      <c r="H360" s="292"/>
      <c r="I360" s="292"/>
      <c r="J360" s="293"/>
    </row>
    <row r="361" spans="2:10" ht="13.5" customHeight="1">
      <c r="B361" s="547"/>
      <c r="C361" s="80">
        <f t="shared" si="6"/>
        <v>30282</v>
      </c>
      <c r="D361" s="262" t="str">
        <f t="shared" si="5"/>
        <v>764A</v>
      </c>
      <c r="E361" s="262" t="s">
        <v>134</v>
      </c>
      <c r="F361" s="80" t="s">
        <v>55</v>
      </c>
      <c r="G361" s="292"/>
      <c r="H361" s="292"/>
      <c r="I361" s="292"/>
      <c r="J361" s="293"/>
    </row>
    <row r="362" spans="2:10">
      <c r="B362" s="547"/>
      <c r="C362" s="80">
        <f t="shared" si="6"/>
        <v>30283</v>
      </c>
      <c r="D362" s="262" t="str">
        <f t="shared" si="5"/>
        <v>764B</v>
      </c>
      <c r="E362" s="262" t="s">
        <v>134</v>
      </c>
      <c r="F362" s="80" t="s">
        <v>55</v>
      </c>
      <c r="G362" s="292"/>
      <c r="H362" s="292"/>
      <c r="I362" s="292"/>
      <c r="J362" s="293"/>
    </row>
    <row r="363" spans="2:10">
      <c r="B363" s="547"/>
      <c r="C363" s="80">
        <f t="shared" si="6"/>
        <v>30284</v>
      </c>
      <c r="D363" s="262" t="str">
        <f t="shared" si="5"/>
        <v>764C</v>
      </c>
      <c r="E363" s="262" t="s">
        <v>134</v>
      </c>
      <c r="F363" s="80" t="s">
        <v>55</v>
      </c>
      <c r="G363" s="292"/>
      <c r="H363" s="292"/>
      <c r="I363" s="292"/>
      <c r="J363" s="293"/>
    </row>
    <row r="364" spans="2:10">
      <c r="B364" s="547"/>
      <c r="C364" s="80">
        <f t="shared" si="6"/>
        <v>30285</v>
      </c>
      <c r="D364" s="262" t="str">
        <f t="shared" si="5"/>
        <v>764D</v>
      </c>
      <c r="E364" s="262" t="s">
        <v>134</v>
      </c>
      <c r="F364" s="80" t="s">
        <v>55</v>
      </c>
      <c r="G364" s="292"/>
      <c r="H364" s="292"/>
      <c r="I364" s="292"/>
      <c r="J364" s="293"/>
    </row>
    <row r="365" spans="2:10">
      <c r="B365" s="547"/>
      <c r="C365" s="80">
        <f t="shared" si="6"/>
        <v>30286</v>
      </c>
      <c r="D365" s="262" t="str">
        <f t="shared" si="5"/>
        <v>764E</v>
      </c>
      <c r="E365" s="262" t="s">
        <v>134</v>
      </c>
      <c r="F365" s="80" t="s">
        <v>55</v>
      </c>
      <c r="G365" s="292"/>
      <c r="H365" s="292"/>
      <c r="I365" s="292"/>
      <c r="J365" s="293"/>
    </row>
    <row r="366" spans="2:10">
      <c r="B366" s="547"/>
      <c r="C366" s="80">
        <f t="shared" si="6"/>
        <v>30287</v>
      </c>
      <c r="D366" s="262" t="str">
        <f t="shared" si="5"/>
        <v>764F</v>
      </c>
      <c r="E366" s="262" t="s">
        <v>134</v>
      </c>
      <c r="F366" s="80" t="s">
        <v>55</v>
      </c>
      <c r="G366" s="292"/>
      <c r="H366" s="292"/>
      <c r="I366" s="292"/>
      <c r="J366" s="293"/>
    </row>
    <row r="367" spans="2:10">
      <c r="B367" s="547"/>
      <c r="C367" s="80">
        <f t="shared" si="6"/>
        <v>30288</v>
      </c>
      <c r="D367" s="262" t="str">
        <f>DEC2HEX(C367)</f>
        <v>7650</v>
      </c>
      <c r="E367" s="262" t="s">
        <v>134</v>
      </c>
      <c r="F367" s="80" t="s">
        <v>55</v>
      </c>
      <c r="G367" s="292"/>
      <c r="H367" s="292"/>
      <c r="I367" s="292"/>
      <c r="J367" s="293"/>
    </row>
    <row r="368" spans="2:10">
      <c r="B368" s="547"/>
      <c r="C368" s="80">
        <f t="shared" si="6"/>
        <v>30289</v>
      </c>
      <c r="D368" s="262" t="str">
        <f>DEC2HEX(C368)</f>
        <v>7651</v>
      </c>
      <c r="E368" s="262" t="s">
        <v>134</v>
      </c>
      <c r="F368" s="80" t="s">
        <v>55</v>
      </c>
      <c r="G368" s="292"/>
      <c r="H368" s="292"/>
      <c r="I368" s="292"/>
      <c r="J368" s="293"/>
    </row>
    <row r="369" spans="2:10">
      <c r="B369" s="547"/>
      <c r="C369" s="80">
        <f t="shared" si="6"/>
        <v>30290</v>
      </c>
      <c r="D369" s="262" t="str">
        <f t="shared" ref="D369:D378" si="7">DEC2HEX(C369)</f>
        <v>7652</v>
      </c>
      <c r="E369" s="262" t="s">
        <v>134</v>
      </c>
      <c r="F369" s="80" t="s">
        <v>55</v>
      </c>
      <c r="G369" s="292"/>
      <c r="H369" s="292"/>
      <c r="I369" s="292"/>
      <c r="J369" s="293"/>
    </row>
    <row r="370" spans="2:10">
      <c r="B370" s="547"/>
      <c r="C370" s="80">
        <f t="shared" si="6"/>
        <v>30291</v>
      </c>
      <c r="D370" s="262" t="str">
        <f t="shared" si="7"/>
        <v>7653</v>
      </c>
      <c r="E370" s="262" t="s">
        <v>134</v>
      </c>
      <c r="F370" s="80" t="s">
        <v>55</v>
      </c>
      <c r="G370" s="292"/>
      <c r="H370" s="292"/>
      <c r="I370" s="292"/>
      <c r="J370" s="293"/>
    </row>
    <row r="371" spans="2:10">
      <c r="B371" s="547"/>
      <c r="C371" s="80">
        <f t="shared" si="6"/>
        <v>30292</v>
      </c>
      <c r="D371" s="262" t="str">
        <f t="shared" si="7"/>
        <v>7654</v>
      </c>
      <c r="E371" s="262" t="s">
        <v>134</v>
      </c>
      <c r="F371" s="80" t="s">
        <v>55</v>
      </c>
      <c r="G371" s="292"/>
      <c r="H371" s="292"/>
      <c r="I371" s="292"/>
      <c r="J371" s="293"/>
    </row>
    <row r="372" spans="2:10">
      <c r="B372" s="547"/>
      <c r="C372" s="80">
        <f t="shared" si="6"/>
        <v>30293</v>
      </c>
      <c r="D372" s="262" t="str">
        <f t="shared" si="7"/>
        <v>7655</v>
      </c>
      <c r="E372" s="262" t="s">
        <v>134</v>
      </c>
      <c r="F372" s="80" t="s">
        <v>55</v>
      </c>
      <c r="G372" s="292"/>
      <c r="H372" s="292"/>
      <c r="I372" s="292"/>
      <c r="J372" s="293"/>
    </row>
    <row r="373" spans="2:10">
      <c r="B373" s="547"/>
      <c r="C373" s="80">
        <f t="shared" si="6"/>
        <v>30294</v>
      </c>
      <c r="D373" s="262" t="str">
        <f t="shared" si="7"/>
        <v>7656</v>
      </c>
      <c r="E373" s="262" t="s">
        <v>134</v>
      </c>
      <c r="F373" s="80" t="s">
        <v>55</v>
      </c>
      <c r="G373" s="292"/>
      <c r="H373" s="292"/>
      <c r="I373" s="292"/>
      <c r="J373" s="293"/>
    </row>
    <row r="374" spans="2:10">
      <c r="B374" s="547"/>
      <c r="C374" s="80">
        <f t="shared" si="6"/>
        <v>30295</v>
      </c>
      <c r="D374" s="262" t="str">
        <f t="shared" si="7"/>
        <v>7657</v>
      </c>
      <c r="E374" s="262" t="s">
        <v>134</v>
      </c>
      <c r="F374" s="80" t="s">
        <v>55</v>
      </c>
      <c r="G374" s="292"/>
      <c r="H374" s="292"/>
      <c r="I374" s="292"/>
      <c r="J374" s="293"/>
    </row>
    <row r="375" spans="2:10">
      <c r="B375" s="547"/>
      <c r="C375" s="80">
        <f t="shared" si="6"/>
        <v>30296</v>
      </c>
      <c r="D375" s="262" t="str">
        <f t="shared" si="7"/>
        <v>7658</v>
      </c>
      <c r="E375" s="262" t="s">
        <v>134</v>
      </c>
      <c r="F375" s="80" t="s">
        <v>55</v>
      </c>
      <c r="G375" s="292"/>
      <c r="H375" s="292"/>
      <c r="I375" s="292"/>
      <c r="J375" s="293"/>
    </row>
    <row r="376" spans="2:10">
      <c r="B376" s="547"/>
      <c r="C376" s="80">
        <f t="shared" si="6"/>
        <v>30297</v>
      </c>
      <c r="D376" s="262" t="str">
        <f t="shared" si="7"/>
        <v>7659</v>
      </c>
      <c r="E376" s="262" t="s">
        <v>134</v>
      </c>
      <c r="F376" s="80" t="s">
        <v>55</v>
      </c>
      <c r="G376" s="292"/>
      <c r="H376" s="292"/>
      <c r="I376" s="292"/>
      <c r="J376" s="293"/>
    </row>
    <row r="377" spans="2:10">
      <c r="B377" s="547"/>
      <c r="C377" s="80">
        <f t="shared" si="6"/>
        <v>30298</v>
      </c>
      <c r="D377" s="262" t="str">
        <f t="shared" si="7"/>
        <v>765A</v>
      </c>
      <c r="E377" s="262" t="s">
        <v>134</v>
      </c>
      <c r="F377" s="80" t="s">
        <v>55</v>
      </c>
      <c r="G377" s="292"/>
      <c r="H377" s="292"/>
      <c r="I377" s="292"/>
      <c r="J377" s="293"/>
    </row>
    <row r="378" spans="2:10">
      <c r="B378" s="547"/>
      <c r="C378" s="80">
        <f t="shared" si="6"/>
        <v>30299</v>
      </c>
      <c r="D378" s="262" t="str">
        <f t="shared" si="7"/>
        <v>765B</v>
      </c>
      <c r="E378" s="262" t="s">
        <v>134</v>
      </c>
      <c r="F378" s="80" t="s">
        <v>55</v>
      </c>
      <c r="G378" s="292"/>
      <c r="H378" s="292"/>
      <c r="I378" s="292"/>
      <c r="J378" s="293"/>
    </row>
    <row r="379" spans="2:10">
      <c r="B379" s="547"/>
      <c r="C379" s="399">
        <f>C378+1</f>
        <v>30300</v>
      </c>
      <c r="D379" s="517" t="str">
        <f>DEC2HEX(C379)</f>
        <v>765C</v>
      </c>
      <c r="E379" s="517" t="s">
        <v>134</v>
      </c>
      <c r="F379" s="520" t="s">
        <v>55</v>
      </c>
      <c r="G379" s="270" t="s">
        <v>759</v>
      </c>
      <c r="H379" s="517" t="s">
        <v>132</v>
      </c>
      <c r="I379" s="517" t="s">
        <v>132</v>
      </c>
      <c r="J379" s="522"/>
    </row>
    <row r="380" spans="2:10">
      <c r="B380" s="547"/>
      <c r="C380" s="415"/>
      <c r="D380" s="518"/>
      <c r="E380" s="518"/>
      <c r="F380" s="520"/>
      <c r="G380" s="270" t="s">
        <v>760</v>
      </c>
      <c r="H380" s="518"/>
      <c r="I380" s="518"/>
      <c r="J380" s="523"/>
    </row>
    <row r="381" spans="2:10">
      <c r="B381" s="547"/>
      <c r="C381" s="415"/>
      <c r="D381" s="518"/>
      <c r="E381" s="518"/>
      <c r="F381" s="520"/>
      <c r="G381" s="270" t="s">
        <v>263</v>
      </c>
      <c r="H381" s="518"/>
      <c r="I381" s="518"/>
      <c r="J381" s="523"/>
    </row>
    <row r="382" spans="2:10">
      <c r="B382" s="547"/>
      <c r="C382" s="415"/>
      <c r="D382" s="518"/>
      <c r="E382" s="518"/>
      <c r="F382" s="520"/>
      <c r="G382" s="270" t="s">
        <v>261</v>
      </c>
      <c r="H382" s="521"/>
      <c r="I382" s="521"/>
      <c r="J382" s="524"/>
    </row>
    <row r="383" spans="2:10">
      <c r="B383" s="547"/>
      <c r="C383" s="415"/>
      <c r="D383" s="518"/>
      <c r="E383" s="518"/>
      <c r="F383" s="520" t="s">
        <v>847</v>
      </c>
      <c r="G383" s="270" t="s">
        <v>762</v>
      </c>
      <c r="H383" s="517" t="s">
        <v>132</v>
      </c>
      <c r="I383" s="517" t="s">
        <v>132</v>
      </c>
      <c r="J383" s="522"/>
    </row>
    <row r="384" spans="2:10">
      <c r="B384" s="547"/>
      <c r="C384" s="415"/>
      <c r="D384" s="518"/>
      <c r="E384" s="518"/>
      <c r="F384" s="520"/>
      <c r="G384" s="270" t="s">
        <v>763</v>
      </c>
      <c r="H384" s="518"/>
      <c r="I384" s="518"/>
      <c r="J384" s="523"/>
    </row>
    <row r="385" spans="2:10">
      <c r="B385" s="547"/>
      <c r="C385" s="415"/>
      <c r="D385" s="518"/>
      <c r="E385" s="518"/>
      <c r="F385" s="520"/>
      <c r="G385" s="270" t="s">
        <v>764</v>
      </c>
      <c r="H385" s="518"/>
      <c r="I385" s="518"/>
      <c r="J385" s="523"/>
    </row>
    <row r="386" spans="2:10">
      <c r="B386" s="547"/>
      <c r="C386" s="415"/>
      <c r="D386" s="518"/>
      <c r="E386" s="518"/>
      <c r="F386" s="520"/>
      <c r="G386" s="270" t="s">
        <v>765</v>
      </c>
      <c r="H386" s="521"/>
      <c r="I386" s="521"/>
      <c r="J386" s="524"/>
    </row>
    <row r="387" spans="2:10">
      <c r="B387" s="547"/>
      <c r="C387" s="415"/>
      <c r="D387" s="518"/>
      <c r="E387" s="518"/>
      <c r="F387" s="520" t="s">
        <v>848</v>
      </c>
      <c r="G387" s="270" t="s">
        <v>767</v>
      </c>
      <c r="H387" s="517" t="s">
        <v>132</v>
      </c>
      <c r="I387" s="517" t="s">
        <v>132</v>
      </c>
      <c r="J387" s="522"/>
    </row>
    <row r="388" spans="2:10">
      <c r="B388" s="547"/>
      <c r="C388" s="415"/>
      <c r="D388" s="518"/>
      <c r="E388" s="518"/>
      <c r="F388" s="520"/>
      <c r="G388" s="270" t="s">
        <v>768</v>
      </c>
      <c r="H388" s="518"/>
      <c r="I388" s="518"/>
      <c r="J388" s="523"/>
    </row>
    <row r="389" spans="2:10">
      <c r="B389" s="547"/>
      <c r="C389" s="415"/>
      <c r="D389" s="518"/>
      <c r="E389" s="518"/>
      <c r="F389" s="520"/>
      <c r="G389" s="270" t="s">
        <v>769</v>
      </c>
      <c r="H389" s="518"/>
      <c r="I389" s="518"/>
      <c r="J389" s="523"/>
    </row>
    <row r="390" spans="2:10">
      <c r="B390" s="547"/>
      <c r="C390" s="415"/>
      <c r="D390" s="518"/>
      <c r="E390" s="518"/>
      <c r="F390" s="520"/>
      <c r="G390" s="270" t="s">
        <v>770</v>
      </c>
      <c r="H390" s="521"/>
      <c r="I390" s="521"/>
      <c r="J390" s="524"/>
    </row>
    <row r="391" spans="2:10">
      <c r="B391" s="547"/>
      <c r="C391" s="415"/>
      <c r="D391" s="518"/>
      <c r="E391" s="518"/>
      <c r="F391" s="520" t="s">
        <v>849</v>
      </c>
      <c r="G391" s="270" t="s">
        <v>772</v>
      </c>
      <c r="H391" s="517" t="s">
        <v>132</v>
      </c>
      <c r="I391" s="517" t="s">
        <v>132</v>
      </c>
      <c r="J391" s="522"/>
    </row>
    <row r="392" spans="2:10">
      <c r="B392" s="547"/>
      <c r="C392" s="415"/>
      <c r="D392" s="518"/>
      <c r="E392" s="518"/>
      <c r="F392" s="520"/>
      <c r="G392" s="270" t="s">
        <v>773</v>
      </c>
      <c r="H392" s="518"/>
      <c r="I392" s="518"/>
      <c r="J392" s="523"/>
    </row>
    <row r="393" spans="2:10">
      <c r="B393" s="547"/>
      <c r="C393" s="415"/>
      <c r="D393" s="518"/>
      <c r="E393" s="518"/>
      <c r="F393" s="520"/>
      <c r="G393" s="270" t="s">
        <v>245</v>
      </c>
      <c r="H393" s="518"/>
      <c r="I393" s="518"/>
      <c r="J393" s="523"/>
    </row>
    <row r="394" spans="2:10">
      <c r="B394" s="547"/>
      <c r="C394" s="400"/>
      <c r="D394" s="521"/>
      <c r="E394" s="521"/>
      <c r="F394" s="520"/>
      <c r="G394" s="270" t="s">
        <v>242</v>
      </c>
      <c r="H394" s="521"/>
      <c r="I394" s="521"/>
      <c r="J394" s="524"/>
    </row>
    <row r="395" spans="2:10">
      <c r="B395" s="547"/>
      <c r="C395" s="113">
        <f>C379+1</f>
        <v>30301</v>
      </c>
      <c r="D395" s="261" t="str">
        <f>DEC2HEX(C395)</f>
        <v>765D</v>
      </c>
      <c r="E395" s="261" t="s">
        <v>134</v>
      </c>
      <c r="F395" s="401" t="s">
        <v>850</v>
      </c>
      <c r="G395" s="517"/>
      <c r="H395" s="272"/>
      <c r="I395" s="272"/>
      <c r="J395" s="277"/>
    </row>
    <row r="396" spans="2:10">
      <c r="B396" s="547"/>
      <c r="C396" s="113">
        <f>C395+1</f>
        <v>30302</v>
      </c>
      <c r="D396" s="261" t="str">
        <f t="shared" ref="D396:D413" si="8">DEC2HEX(C396)</f>
        <v>765E</v>
      </c>
      <c r="E396" s="261" t="s">
        <v>134</v>
      </c>
      <c r="F396" s="411"/>
      <c r="G396" s="518"/>
      <c r="H396" s="272"/>
      <c r="I396" s="272"/>
      <c r="J396" s="277"/>
    </row>
    <row r="397" spans="2:10">
      <c r="B397" s="547"/>
      <c r="C397" s="113">
        <f t="shared" ref="C397:C406" si="9">C396+1</f>
        <v>30303</v>
      </c>
      <c r="D397" s="261" t="str">
        <f t="shared" si="8"/>
        <v>765F</v>
      </c>
      <c r="E397" s="261" t="s">
        <v>134</v>
      </c>
      <c r="F397" s="411"/>
      <c r="G397" s="518"/>
      <c r="H397" s="272"/>
      <c r="I397" s="272"/>
      <c r="J397" s="277"/>
    </row>
    <row r="398" spans="2:10">
      <c r="B398" s="547"/>
      <c r="C398" s="113">
        <f t="shared" si="9"/>
        <v>30304</v>
      </c>
      <c r="D398" s="261" t="str">
        <f t="shared" si="8"/>
        <v>7660</v>
      </c>
      <c r="E398" s="261" t="s">
        <v>134</v>
      </c>
      <c r="F398" s="411"/>
      <c r="G398" s="518"/>
      <c r="H398" s="272"/>
      <c r="I398" s="272"/>
      <c r="J398" s="277"/>
    </row>
    <row r="399" spans="2:10">
      <c r="B399" s="547"/>
      <c r="C399" s="113">
        <f t="shared" si="9"/>
        <v>30305</v>
      </c>
      <c r="D399" s="261" t="str">
        <f t="shared" si="8"/>
        <v>7661</v>
      </c>
      <c r="E399" s="261" t="s">
        <v>134</v>
      </c>
      <c r="F399" s="411"/>
      <c r="G399" s="518"/>
      <c r="H399" s="272"/>
      <c r="I399" s="272"/>
      <c r="J399" s="277"/>
    </row>
    <row r="400" spans="2:10">
      <c r="B400" s="547"/>
      <c r="C400" s="113">
        <f t="shared" si="9"/>
        <v>30306</v>
      </c>
      <c r="D400" s="261" t="str">
        <f t="shared" si="8"/>
        <v>7662</v>
      </c>
      <c r="E400" s="261" t="s">
        <v>134</v>
      </c>
      <c r="F400" s="411"/>
      <c r="G400" s="518"/>
      <c r="H400" s="272"/>
      <c r="I400" s="272"/>
      <c r="J400" s="277"/>
    </row>
    <row r="401" spans="2:10">
      <c r="B401" s="547"/>
      <c r="C401" s="113">
        <f t="shared" si="9"/>
        <v>30307</v>
      </c>
      <c r="D401" s="261" t="str">
        <f t="shared" si="8"/>
        <v>7663</v>
      </c>
      <c r="E401" s="261" t="s">
        <v>134</v>
      </c>
      <c r="F401" s="411"/>
      <c r="G401" s="518"/>
      <c r="H401" s="272"/>
      <c r="I401" s="272"/>
      <c r="J401" s="277"/>
    </row>
    <row r="402" spans="2:10">
      <c r="B402" s="547"/>
      <c r="C402" s="113">
        <f t="shared" si="9"/>
        <v>30308</v>
      </c>
      <c r="D402" s="261" t="str">
        <f t="shared" si="8"/>
        <v>7664</v>
      </c>
      <c r="E402" s="261" t="s">
        <v>134</v>
      </c>
      <c r="F402" s="411"/>
      <c r="G402" s="518"/>
      <c r="H402" s="272"/>
      <c r="I402" s="272"/>
      <c r="J402" s="277"/>
    </row>
    <row r="403" spans="2:10">
      <c r="B403" s="547"/>
      <c r="C403" s="113">
        <f t="shared" si="9"/>
        <v>30309</v>
      </c>
      <c r="D403" s="261" t="str">
        <f t="shared" si="8"/>
        <v>7665</v>
      </c>
      <c r="E403" s="261" t="s">
        <v>134</v>
      </c>
      <c r="F403" s="411"/>
      <c r="G403" s="518"/>
      <c r="H403" s="272"/>
      <c r="I403" s="272"/>
      <c r="J403" s="277"/>
    </row>
    <row r="404" spans="2:10">
      <c r="B404" s="547"/>
      <c r="C404" s="113">
        <f t="shared" si="9"/>
        <v>30310</v>
      </c>
      <c r="D404" s="261" t="str">
        <f t="shared" si="8"/>
        <v>7666</v>
      </c>
      <c r="E404" s="261" t="s">
        <v>134</v>
      </c>
      <c r="F404" s="411"/>
      <c r="G404" s="518"/>
      <c r="H404" s="272"/>
      <c r="I404" s="272"/>
      <c r="J404" s="277"/>
    </row>
    <row r="405" spans="2:10">
      <c r="B405" s="547"/>
      <c r="C405" s="113">
        <f t="shared" si="9"/>
        <v>30311</v>
      </c>
      <c r="D405" s="261" t="str">
        <f t="shared" si="8"/>
        <v>7667</v>
      </c>
      <c r="E405" s="261" t="s">
        <v>134</v>
      </c>
      <c r="F405" s="411"/>
      <c r="G405" s="518"/>
      <c r="H405" s="272"/>
      <c r="I405" s="272"/>
      <c r="J405" s="277"/>
    </row>
    <row r="406" spans="2:10">
      <c r="B406" s="547"/>
      <c r="C406" s="113">
        <f t="shared" si="9"/>
        <v>30312</v>
      </c>
      <c r="D406" s="261" t="str">
        <f t="shared" si="8"/>
        <v>7668</v>
      </c>
      <c r="E406" s="261" t="s">
        <v>134</v>
      </c>
      <c r="F406" s="411"/>
      <c r="G406" s="518"/>
      <c r="H406" s="272"/>
      <c r="I406" s="272"/>
      <c r="J406" s="277"/>
    </row>
    <row r="407" spans="2:10">
      <c r="B407" s="547"/>
      <c r="C407" s="113">
        <f>C406+1</f>
        <v>30313</v>
      </c>
      <c r="D407" s="261" t="str">
        <f t="shared" si="8"/>
        <v>7669</v>
      </c>
      <c r="E407" s="261" t="s">
        <v>134</v>
      </c>
      <c r="F407" s="411"/>
      <c r="G407" s="518"/>
      <c r="H407" s="272"/>
      <c r="I407" s="272"/>
      <c r="J407" s="277"/>
    </row>
    <row r="408" spans="2:10">
      <c r="B408" s="547"/>
      <c r="C408" s="113">
        <f t="shared" ref="C408:C413" si="10">C407+1</f>
        <v>30314</v>
      </c>
      <c r="D408" s="261" t="str">
        <f t="shared" si="8"/>
        <v>766A</v>
      </c>
      <c r="E408" s="261" t="s">
        <v>134</v>
      </c>
      <c r="F408" s="411"/>
      <c r="G408" s="518"/>
      <c r="H408" s="272"/>
      <c r="I408" s="272"/>
      <c r="J408" s="277"/>
    </row>
    <row r="409" spans="2:10">
      <c r="B409" s="547"/>
      <c r="C409" s="113">
        <f t="shared" si="10"/>
        <v>30315</v>
      </c>
      <c r="D409" s="261" t="str">
        <f t="shared" si="8"/>
        <v>766B</v>
      </c>
      <c r="E409" s="261" t="s">
        <v>134</v>
      </c>
      <c r="F409" s="411"/>
      <c r="G409" s="518"/>
      <c r="H409" s="272"/>
      <c r="I409" s="272"/>
      <c r="J409" s="277"/>
    </row>
    <row r="410" spans="2:10">
      <c r="B410" s="547"/>
      <c r="C410" s="113">
        <f t="shared" si="10"/>
        <v>30316</v>
      </c>
      <c r="D410" s="261" t="str">
        <f t="shared" si="8"/>
        <v>766C</v>
      </c>
      <c r="E410" s="261" t="s">
        <v>134</v>
      </c>
      <c r="F410" s="411"/>
      <c r="G410" s="518"/>
      <c r="H410" s="272"/>
      <c r="I410" s="272"/>
      <c r="J410" s="277"/>
    </row>
    <row r="411" spans="2:10">
      <c r="B411" s="547"/>
      <c r="C411" s="113">
        <f t="shared" si="10"/>
        <v>30317</v>
      </c>
      <c r="D411" s="261" t="str">
        <f t="shared" si="8"/>
        <v>766D</v>
      </c>
      <c r="E411" s="261" t="s">
        <v>134</v>
      </c>
      <c r="F411" s="411"/>
      <c r="G411" s="518"/>
      <c r="H411" s="272"/>
      <c r="I411" s="272"/>
      <c r="J411" s="277"/>
    </row>
    <row r="412" spans="2:10">
      <c r="B412" s="547"/>
      <c r="C412" s="113">
        <f t="shared" si="10"/>
        <v>30318</v>
      </c>
      <c r="D412" s="261" t="str">
        <f t="shared" si="8"/>
        <v>766E</v>
      </c>
      <c r="E412" s="261" t="s">
        <v>134</v>
      </c>
      <c r="F412" s="411"/>
      <c r="G412" s="518"/>
      <c r="H412" s="272"/>
      <c r="I412" s="272"/>
      <c r="J412" s="277"/>
    </row>
    <row r="413" spans="2:10" ht="14.25" thickBot="1">
      <c r="B413" s="548"/>
      <c r="C413" s="126">
        <f t="shared" si="10"/>
        <v>30319</v>
      </c>
      <c r="D413" s="294" t="str">
        <f t="shared" si="8"/>
        <v>766F</v>
      </c>
      <c r="E413" s="294" t="s">
        <v>134</v>
      </c>
      <c r="F413" s="516"/>
      <c r="G413" s="519"/>
      <c r="H413" s="295"/>
      <c r="I413" s="295"/>
      <c r="J413" s="296"/>
    </row>
  </sheetData>
  <sheetProtection selectLockedCells="1" selectUnlockedCells="1"/>
  <mergeCells count="388">
    <mergeCell ref="B3:J3"/>
    <mergeCell ref="B11:B60"/>
    <mergeCell ref="E11:E12"/>
    <mergeCell ref="F11:F12"/>
    <mergeCell ref="G11:G12"/>
    <mergeCell ref="H11:H12"/>
    <mergeCell ref="I11:I12"/>
    <mergeCell ref="J11:J12"/>
    <mergeCell ref="E13:E14"/>
    <mergeCell ref="F13:F14"/>
    <mergeCell ref="G13:G14"/>
    <mergeCell ref="H13:H14"/>
    <mergeCell ref="I13:I14"/>
    <mergeCell ref="J13:J14"/>
    <mergeCell ref="E15:E16"/>
    <mergeCell ref="F15:F16"/>
    <mergeCell ref="G15:G16"/>
    <mergeCell ref="H15:H16"/>
    <mergeCell ref="I15:I16"/>
    <mergeCell ref="J15:J16"/>
    <mergeCell ref="E19:E26"/>
    <mergeCell ref="F19:F26"/>
    <mergeCell ref="G19:G26"/>
    <mergeCell ref="H19:H26"/>
    <mergeCell ref="I19:I26"/>
    <mergeCell ref="J19:J26"/>
    <mergeCell ref="E17:E18"/>
    <mergeCell ref="F17:F18"/>
    <mergeCell ref="G17:G18"/>
    <mergeCell ref="H17:H18"/>
    <mergeCell ref="I17:I18"/>
    <mergeCell ref="J17:J18"/>
    <mergeCell ref="E29:E30"/>
    <mergeCell ref="F29:F30"/>
    <mergeCell ref="G29:G30"/>
    <mergeCell ref="H29:H30"/>
    <mergeCell ref="I29:I30"/>
    <mergeCell ref="J29:J30"/>
    <mergeCell ref="E27:E28"/>
    <mergeCell ref="F27:F28"/>
    <mergeCell ref="G27:G28"/>
    <mergeCell ref="H27:H28"/>
    <mergeCell ref="I27:I28"/>
    <mergeCell ref="J27:J28"/>
    <mergeCell ref="I61:I75"/>
    <mergeCell ref="J61:J75"/>
    <mergeCell ref="C76:C87"/>
    <mergeCell ref="D76:D87"/>
    <mergeCell ref="E76:E87"/>
    <mergeCell ref="F76:F87"/>
    <mergeCell ref="H76:H87"/>
    <mergeCell ref="I76:I87"/>
    <mergeCell ref="B61:B413"/>
    <mergeCell ref="C61:C75"/>
    <mergeCell ref="D61:D75"/>
    <mergeCell ref="E61:E75"/>
    <mergeCell ref="F61:F75"/>
    <mergeCell ref="H61:H75"/>
    <mergeCell ref="C88:C95"/>
    <mergeCell ref="D88:D95"/>
    <mergeCell ref="E88:E95"/>
    <mergeCell ref="F88:F95"/>
    <mergeCell ref="E106:E107"/>
    <mergeCell ref="F106:F107"/>
    <mergeCell ref="G106:G107"/>
    <mergeCell ref="H106:H107"/>
    <mergeCell ref="I106:I107"/>
    <mergeCell ref="J106:J107"/>
    <mergeCell ref="H88:H95"/>
    <mergeCell ref="I88:I95"/>
    <mergeCell ref="C96:C103"/>
    <mergeCell ref="D96:D103"/>
    <mergeCell ref="E96:E103"/>
    <mergeCell ref="F96:F103"/>
    <mergeCell ref="H96:H103"/>
    <mergeCell ref="I96:I103"/>
    <mergeCell ref="E112:E113"/>
    <mergeCell ref="F112:F113"/>
    <mergeCell ref="G112:G113"/>
    <mergeCell ref="H112:H113"/>
    <mergeCell ref="I112:I113"/>
    <mergeCell ref="J112:J113"/>
    <mergeCell ref="E110:E111"/>
    <mergeCell ref="F110:F111"/>
    <mergeCell ref="G110:G111"/>
    <mergeCell ref="H110:H111"/>
    <mergeCell ref="I110:I111"/>
    <mergeCell ref="J110:J111"/>
    <mergeCell ref="E116:E117"/>
    <mergeCell ref="F116:F117"/>
    <mergeCell ref="G116:G117"/>
    <mergeCell ref="H116:H117"/>
    <mergeCell ref="I116:I117"/>
    <mergeCell ref="J116:J117"/>
    <mergeCell ref="E114:E115"/>
    <mergeCell ref="F114:F115"/>
    <mergeCell ref="G114:G115"/>
    <mergeCell ref="H114:H115"/>
    <mergeCell ref="I114:I115"/>
    <mergeCell ref="J114:J115"/>
    <mergeCell ref="J118:J121"/>
    <mergeCell ref="F122:F125"/>
    <mergeCell ref="H122:H125"/>
    <mergeCell ref="I122:I125"/>
    <mergeCell ref="J122:J125"/>
    <mergeCell ref="F126:F129"/>
    <mergeCell ref="H126:H129"/>
    <mergeCell ref="I126:I129"/>
    <mergeCell ref="J126:J129"/>
    <mergeCell ref="F118:F121"/>
    <mergeCell ref="H118:H121"/>
    <mergeCell ref="I118:I121"/>
    <mergeCell ref="I138:I141"/>
    <mergeCell ref="J138:J141"/>
    <mergeCell ref="F142:F145"/>
    <mergeCell ref="H142:H145"/>
    <mergeCell ref="I142:I145"/>
    <mergeCell ref="J142:J145"/>
    <mergeCell ref="J130:J133"/>
    <mergeCell ref="C134:C149"/>
    <mergeCell ref="D134:D149"/>
    <mergeCell ref="E134:E149"/>
    <mergeCell ref="F134:F137"/>
    <mergeCell ref="H134:H137"/>
    <mergeCell ref="I134:I137"/>
    <mergeCell ref="J134:J137"/>
    <mergeCell ref="F138:F141"/>
    <mergeCell ref="H138:H141"/>
    <mergeCell ref="C118:C133"/>
    <mergeCell ref="D118:D133"/>
    <mergeCell ref="E118:E133"/>
    <mergeCell ref="F130:F133"/>
    <mergeCell ref="H130:H133"/>
    <mergeCell ref="I130:I133"/>
    <mergeCell ref="F146:F149"/>
    <mergeCell ref="H146:H149"/>
    <mergeCell ref="I146:I149"/>
    <mergeCell ref="J146:J149"/>
    <mergeCell ref="C150:C165"/>
    <mergeCell ref="D150:D165"/>
    <mergeCell ref="E150:E165"/>
    <mergeCell ref="F150:F153"/>
    <mergeCell ref="H150:H153"/>
    <mergeCell ref="I150:I153"/>
    <mergeCell ref="J150:J153"/>
    <mergeCell ref="F154:F157"/>
    <mergeCell ref="H154:H157"/>
    <mergeCell ref="I154:I157"/>
    <mergeCell ref="J154:J157"/>
    <mergeCell ref="F158:F161"/>
    <mergeCell ref="H158:H161"/>
    <mergeCell ref="I158:I161"/>
    <mergeCell ref="J158:J161"/>
    <mergeCell ref="F162:F165"/>
    <mergeCell ref="H162:H165"/>
    <mergeCell ref="I162:I165"/>
    <mergeCell ref="J162:J165"/>
    <mergeCell ref="C166:C181"/>
    <mergeCell ref="D166:D181"/>
    <mergeCell ref="E166:E181"/>
    <mergeCell ref="F166:F169"/>
    <mergeCell ref="H166:H169"/>
    <mergeCell ref="I166:I169"/>
    <mergeCell ref="J166:J169"/>
    <mergeCell ref="F170:F173"/>
    <mergeCell ref="H170:H173"/>
    <mergeCell ref="I170:I173"/>
    <mergeCell ref="J170:J173"/>
    <mergeCell ref="F174:F177"/>
    <mergeCell ref="H174:H177"/>
    <mergeCell ref="I174:I177"/>
    <mergeCell ref="J174:J177"/>
    <mergeCell ref="F178:F181"/>
    <mergeCell ref="H178:H181"/>
    <mergeCell ref="I178:I181"/>
    <mergeCell ref="J178:J181"/>
    <mergeCell ref="C182:C197"/>
    <mergeCell ref="D182:D197"/>
    <mergeCell ref="E182:E197"/>
    <mergeCell ref="F182:F185"/>
    <mergeCell ref="H182:H185"/>
    <mergeCell ref="I182:I185"/>
    <mergeCell ref="J182:J185"/>
    <mergeCell ref="F186:F189"/>
    <mergeCell ref="H186:H189"/>
    <mergeCell ref="I186:I189"/>
    <mergeCell ref="J186:J189"/>
    <mergeCell ref="F190:F193"/>
    <mergeCell ref="H190:H193"/>
    <mergeCell ref="I190:I193"/>
    <mergeCell ref="J190:J193"/>
    <mergeCell ref="F194:F197"/>
    <mergeCell ref="H194:H197"/>
    <mergeCell ref="I194:I197"/>
    <mergeCell ref="J194:J197"/>
    <mergeCell ref="C198:C213"/>
    <mergeCell ref="D198:D213"/>
    <mergeCell ref="E198:E213"/>
    <mergeCell ref="F198:F201"/>
    <mergeCell ref="H198:H201"/>
    <mergeCell ref="I198:I201"/>
    <mergeCell ref="J198:J201"/>
    <mergeCell ref="F202:F205"/>
    <mergeCell ref="H202:H205"/>
    <mergeCell ref="I202:I205"/>
    <mergeCell ref="J202:J205"/>
    <mergeCell ref="F206:F209"/>
    <mergeCell ref="H206:H209"/>
    <mergeCell ref="I206:I209"/>
    <mergeCell ref="J206:J209"/>
    <mergeCell ref="F210:F213"/>
    <mergeCell ref="H210:H213"/>
    <mergeCell ref="I210:I213"/>
    <mergeCell ref="J210:J213"/>
    <mergeCell ref="C216:C231"/>
    <mergeCell ref="D216:D231"/>
    <mergeCell ref="E216:E231"/>
    <mergeCell ref="F216:F219"/>
    <mergeCell ref="H216:H219"/>
    <mergeCell ref="I216:I219"/>
    <mergeCell ref="J216:J219"/>
    <mergeCell ref="F220:F223"/>
    <mergeCell ref="H220:H223"/>
    <mergeCell ref="I220:I223"/>
    <mergeCell ref="J220:J223"/>
    <mergeCell ref="F224:F227"/>
    <mergeCell ref="H224:H227"/>
    <mergeCell ref="I224:I227"/>
    <mergeCell ref="J224:J227"/>
    <mergeCell ref="F228:F231"/>
    <mergeCell ref="H228:H231"/>
    <mergeCell ref="I228:I231"/>
    <mergeCell ref="J228:J231"/>
    <mergeCell ref="C232:C247"/>
    <mergeCell ref="D232:D247"/>
    <mergeCell ref="E232:E247"/>
    <mergeCell ref="F232:F235"/>
    <mergeCell ref="H232:H235"/>
    <mergeCell ref="I232:I235"/>
    <mergeCell ref="J232:J235"/>
    <mergeCell ref="F236:F239"/>
    <mergeCell ref="H236:H239"/>
    <mergeCell ref="I236:I239"/>
    <mergeCell ref="J236:J239"/>
    <mergeCell ref="F240:F243"/>
    <mergeCell ref="H240:H243"/>
    <mergeCell ref="I240:I243"/>
    <mergeCell ref="J240:J243"/>
    <mergeCell ref="F244:F247"/>
    <mergeCell ref="H244:H247"/>
    <mergeCell ref="I244:I247"/>
    <mergeCell ref="J244:J247"/>
    <mergeCell ref="C248:C263"/>
    <mergeCell ref="D248:D263"/>
    <mergeCell ref="E248:E263"/>
    <mergeCell ref="F248:F251"/>
    <mergeCell ref="H248:H251"/>
    <mergeCell ref="I248:I251"/>
    <mergeCell ref="J248:J251"/>
    <mergeCell ref="F252:F255"/>
    <mergeCell ref="H252:H255"/>
    <mergeCell ref="I252:I255"/>
    <mergeCell ref="J252:J255"/>
    <mergeCell ref="F256:F259"/>
    <mergeCell ref="H256:H259"/>
    <mergeCell ref="I256:I259"/>
    <mergeCell ref="J256:J259"/>
    <mergeCell ref="F260:F263"/>
    <mergeCell ref="H260:H263"/>
    <mergeCell ref="I260:I263"/>
    <mergeCell ref="J260:J263"/>
    <mergeCell ref="C264:C279"/>
    <mergeCell ref="D264:D279"/>
    <mergeCell ref="E264:E279"/>
    <mergeCell ref="F264:F267"/>
    <mergeCell ref="H264:H267"/>
    <mergeCell ref="I264:I267"/>
    <mergeCell ref="J264:J267"/>
    <mergeCell ref="F268:F271"/>
    <mergeCell ref="H268:H271"/>
    <mergeCell ref="I268:I271"/>
    <mergeCell ref="J268:J271"/>
    <mergeCell ref="F272:F275"/>
    <mergeCell ref="H272:H275"/>
    <mergeCell ref="I272:I275"/>
    <mergeCell ref="J272:J275"/>
    <mergeCell ref="F276:F279"/>
    <mergeCell ref="H276:H279"/>
    <mergeCell ref="I276:I279"/>
    <mergeCell ref="J276:J279"/>
    <mergeCell ref="C280:C295"/>
    <mergeCell ref="D280:D295"/>
    <mergeCell ref="E280:E295"/>
    <mergeCell ref="F280:F283"/>
    <mergeCell ref="H280:H283"/>
    <mergeCell ref="I280:I283"/>
    <mergeCell ref="J280:J283"/>
    <mergeCell ref="F284:F287"/>
    <mergeCell ref="H284:H287"/>
    <mergeCell ref="I284:I287"/>
    <mergeCell ref="J284:J287"/>
    <mergeCell ref="F288:F291"/>
    <mergeCell ref="H288:H291"/>
    <mergeCell ref="I288:I291"/>
    <mergeCell ref="J288:J291"/>
    <mergeCell ref="F292:F295"/>
    <mergeCell ref="H292:H295"/>
    <mergeCell ref="I292:I295"/>
    <mergeCell ref="J292:J295"/>
    <mergeCell ref="C296:C311"/>
    <mergeCell ref="D296:D311"/>
    <mergeCell ref="E296:E311"/>
    <mergeCell ref="F296:F299"/>
    <mergeCell ref="H296:H299"/>
    <mergeCell ref="I296:I299"/>
    <mergeCell ref="J296:J299"/>
    <mergeCell ref="F300:F303"/>
    <mergeCell ref="H300:H303"/>
    <mergeCell ref="I300:I303"/>
    <mergeCell ref="J300:J303"/>
    <mergeCell ref="F304:F307"/>
    <mergeCell ref="H304:H307"/>
    <mergeCell ref="I304:I307"/>
    <mergeCell ref="J304:J307"/>
    <mergeCell ref="F308:F311"/>
    <mergeCell ref="H308:H311"/>
    <mergeCell ref="I308:I311"/>
    <mergeCell ref="J308:J311"/>
    <mergeCell ref="C312:C327"/>
    <mergeCell ref="D312:D327"/>
    <mergeCell ref="E312:E327"/>
    <mergeCell ref="F312:F315"/>
    <mergeCell ref="H312:H315"/>
    <mergeCell ref="I312:I315"/>
    <mergeCell ref="J312:J315"/>
    <mergeCell ref="F316:F319"/>
    <mergeCell ref="H316:H319"/>
    <mergeCell ref="I316:I319"/>
    <mergeCell ref="J316:J319"/>
    <mergeCell ref="F320:F323"/>
    <mergeCell ref="H320:H323"/>
    <mergeCell ref="I320:I323"/>
    <mergeCell ref="J320:J323"/>
    <mergeCell ref="F324:F327"/>
    <mergeCell ref="H324:H327"/>
    <mergeCell ref="I324:I327"/>
    <mergeCell ref="J324:J327"/>
    <mergeCell ref="C332:C333"/>
    <mergeCell ref="D332:D333"/>
    <mergeCell ref="E332:E333"/>
    <mergeCell ref="F332:F333"/>
    <mergeCell ref="J332:J333"/>
    <mergeCell ref="C334:C335"/>
    <mergeCell ref="D334:D335"/>
    <mergeCell ref="E334:E335"/>
    <mergeCell ref="F334:F335"/>
    <mergeCell ref="J334:J335"/>
    <mergeCell ref="C339:C340"/>
    <mergeCell ref="D339:D340"/>
    <mergeCell ref="E339:E340"/>
    <mergeCell ref="F339:F340"/>
    <mergeCell ref="J339:J340"/>
    <mergeCell ref="I379:I382"/>
    <mergeCell ref="J379:J382"/>
    <mergeCell ref="F383:F386"/>
    <mergeCell ref="H383:H386"/>
    <mergeCell ref="I383:I386"/>
    <mergeCell ref="J383:J386"/>
    <mergeCell ref="C341:C342"/>
    <mergeCell ref="D341:D342"/>
    <mergeCell ref="E341:E342"/>
    <mergeCell ref="F341:F342"/>
    <mergeCell ref="J341:J342"/>
    <mergeCell ref="C379:C394"/>
    <mergeCell ref="D379:D394"/>
    <mergeCell ref="E379:E394"/>
    <mergeCell ref="F379:F382"/>
    <mergeCell ref="H379:H382"/>
    <mergeCell ref="F395:F413"/>
    <mergeCell ref="G395:G413"/>
    <mergeCell ref="F387:F390"/>
    <mergeCell ref="H387:H390"/>
    <mergeCell ref="I387:I390"/>
    <mergeCell ref="J387:J390"/>
    <mergeCell ref="F391:F394"/>
    <mergeCell ref="H391:H394"/>
    <mergeCell ref="I391:I394"/>
    <mergeCell ref="J391:J394"/>
  </mergeCells>
  <phoneticPr fontId="3" type="noConversion"/>
  <conditionalFormatting sqref="F170:F173">
    <cfRule type="expression" dxfId="3" priority="4">
      <formula>IF($L$7="SIMBA",1,0)</formula>
    </cfRule>
  </conditionalFormatting>
  <conditionalFormatting sqref="F240:F243">
    <cfRule type="expression" dxfId="2" priority="1">
      <formula>IF($K$7="P320DF2A2",1,0)</formula>
    </cfRule>
  </conditionalFormatting>
  <conditionalFormatting sqref="F264:F267">
    <cfRule type="expression" dxfId="1" priority="2">
      <formula>IF(OR($K$7="P15095NN3", $K$7="P15185NB3", $K$7="P15185NS3", $K$7="P15250NB2", $K$7="P15160NB2", $K$7="P10250NB2", $K$7="P10160NB2"),1, 0)</formula>
    </cfRule>
  </conditionalFormatting>
  <conditionalFormatting sqref="F387:F390">
    <cfRule type="expression" dxfId="0" priority="3">
      <formula>IF($K$7="P320DF2A2",1,0)</formula>
    </cfRule>
  </conditionalFormatting>
  <dataValidations count="1">
    <dataValidation type="whole" allowBlank="1" showInputMessage="1" showErrorMessage="1" errorTitle="Out of range" error="Check the Rack ID" sqref="C9" xr:uid="{00000000-0002-0000-0800-000000000000}">
      <formula1>1</formula1>
      <formula2>80</formula2>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Description</vt:lpstr>
      <vt:lpstr>Common</vt:lpstr>
      <vt:lpstr>B2C(BSC Data)</vt:lpstr>
      <vt:lpstr>B2C(BSC Flag)</vt:lpstr>
      <vt:lpstr>C2B(Controller Data)</vt:lpstr>
      <vt:lpstr>Sequence</vt:lpstr>
      <vt:lpstr>Request Ack. Table</vt:lpstr>
      <vt:lpstr>B2C(Rack Data)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사용자</dc:creator>
  <cp:lastModifiedBy>Mert Çetinkaya</cp:lastModifiedBy>
  <dcterms:created xsi:type="dcterms:W3CDTF">2025-07-30T10:42:47Z</dcterms:created>
  <dcterms:modified xsi:type="dcterms:W3CDTF">2026-02-12T11:38:24Z</dcterms:modified>
</cp:coreProperties>
</file>